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Catalog Tracker" sheetId="1" r:id="rId5"/>
    <sheet state="visible" name="Approved Catalog" sheetId="2" r:id="rId6"/>
    <sheet state="visible" name="Dashboard &amp; Automation" sheetId="3" r:id="rId7"/>
  </sheets>
  <definedNames/>
  <calcPr/>
</workbook>
</file>

<file path=xl/sharedStrings.xml><?xml version="1.0" encoding="utf-8"?>
<sst xmlns="http://schemas.openxmlformats.org/spreadsheetml/2006/main" count="3262" uniqueCount="1232">
  <si>
    <t>MASTER CATALOG TRACKER</t>
  </si>
  <si>
    <t>APPROVED CATALOG</t>
  </si>
  <si>
    <t>Live view of finalized items — pulls directly from Master Catalog Tracker via formula</t>
  </si>
  <si>
    <t>Item Code</t>
  </si>
  <si>
    <t>Title</t>
  </si>
  <si>
    <t>Author</t>
  </si>
  <si>
    <t>Category</t>
  </si>
  <si>
    <t>Catalog Price</t>
  </si>
  <si>
    <t>Best Live Price</t>
  </si>
  <si>
    <t>Best Distributor</t>
  </si>
  <si>
    <t>Savings vs. Catalog</t>
  </si>
  <si>
    <t>Multi-distributor price verification &amp; QA workflow  —  anonymized portfolio sample (100 items)</t>
  </si>
  <si>
    <t>ITEM RECORD</t>
  </si>
  <si>
    <t>NORTHGATE BOOK DISTRIBUTION</t>
  </si>
  <si>
    <t>HARROW &amp; VALE WHOLESALE</t>
  </si>
  <si>
    <t>WRENFIELD MEDIA SUPPLY</t>
  </si>
  <si>
    <t>SOLSTICE BOOK TRADE</t>
  </si>
  <si>
    <t>RESOLUTION</t>
  </si>
  <si>
    <t>Primary Publisher</t>
  </si>
  <si>
    <t>Sub-Category</t>
  </si>
  <si>
    <t>Verified in System</t>
  </si>
  <si>
    <t>Date Added</t>
  </si>
  <si>
    <t>Added By</t>
  </si>
  <si>
    <t>Link</t>
  </si>
  <si>
    <t>SKU</t>
  </si>
  <si>
    <t>Live Price</t>
  </si>
  <si>
    <t>Qty (Sold By)</t>
  </si>
  <si>
    <t>Unit Price</t>
  </si>
  <si>
    <t>Manual Match?</t>
  </si>
  <si>
    <t>Status</t>
  </si>
  <si>
    <t>Remark</t>
  </si>
  <si>
    <t>Final Catalog Status</t>
  </si>
  <si>
    <t>Updated By</t>
  </si>
  <si>
    <t>BK1000</t>
  </si>
  <si>
    <t>The Drifting Lighthouse</t>
  </si>
  <si>
    <t>Rowan Amari</t>
  </si>
  <si>
    <t>Larkspur &amp; Co.</t>
  </si>
  <si>
    <t>Book Care Supplies</t>
  </si>
  <si>
    <t>Preservation Sleeves</t>
  </si>
  <si>
    <t>Yes</t>
  </si>
  <si>
    <t>2025-12-26</t>
  </si>
  <si>
    <t>Mika</t>
  </si>
  <si>
    <t>https://northgatebooks.example/catalog/BK1000</t>
  </si>
  <si>
    <t>NOR-22255</t>
  </si>
  <si>
    <t>No</t>
  </si>
  <si>
    <t>Unavailable - no comparable listing found</t>
  </si>
  <si>
    <t>Price increased since last catalog cycle.</t>
  </si>
  <si>
    <t>https://harrowbooks.example/catalog/BK1000</t>
  </si>
  <si>
    <t>HAR-20837</t>
  </si>
  <si>
    <t>Approved</t>
  </si>
  <si>
    <t>No exact match; used closest available format.</t>
  </si>
  <si>
    <t>https://wrenfieldbooks.example/catalog/BK1000</t>
  </si>
  <si>
    <t>WRE-15577</t>
  </si>
  <si>
    <t>Alternate imprint used; no direct equivalent found.</t>
  </si>
  <si>
    <t>https://solsticebooks.example/catalog/BK1000</t>
  </si>
  <si>
    <t>SOL-45532</t>
  </si>
  <si>
    <t>Price unchanged from prior review.</t>
  </si>
  <si>
    <t>Catalog Entry Complete</t>
  </si>
  <si>
    <t>BK1001</t>
  </si>
  <si>
    <t>The Midnight Ledger</t>
  </si>
  <si>
    <t>Rowan Fennimore</t>
  </si>
  <si>
    <t>Candlewright Books</t>
  </si>
  <si>
    <t>Poetry &amp; Classics</t>
  </si>
  <si>
    <t>Poetry Anthologies</t>
  </si>
  <si>
    <t>2025-12-06</t>
  </si>
  <si>
    <t>https://northgatebooks.example/catalog/BK1001</t>
  </si>
  <si>
    <t>NOR-85082</t>
  </si>
  <si>
    <t>Approved, pending re-check next cycle</t>
  </si>
  <si>
    <t>https://harrowbooks.example/catalog/BK1001</t>
  </si>
  <si>
    <t>HAR-90134</t>
  </si>
  <si>
    <t>Bundled pricing applied; unit price recalculated.</t>
  </si>
  <si>
    <t>https://wrenfieldbooks.example/catalog/BK1001</t>
  </si>
  <si>
    <t>WRE-41194</t>
  </si>
  <si>
    <t>New printing released; ISBN updated.</t>
  </si>
  <si>
    <t>https://solsticebooks.example/catalog/BK1001</t>
  </si>
  <si>
    <t>SOL-68540</t>
  </si>
  <si>
    <t>Rejected, closest match only</t>
  </si>
  <si>
    <t>BK1002</t>
  </si>
  <si>
    <t>The Paper Signal</t>
  </si>
  <si>
    <t>Felix Holloway</t>
  </si>
  <si>
    <t>Graymoor Editions</t>
  </si>
  <si>
    <t>Mystery &amp; Thriller</t>
  </si>
  <si>
    <t>Psychological Thriller</t>
  </si>
  <si>
    <t>2025-12-23</t>
  </si>
  <si>
    <t>https://northgatebooks.example/catalog/BK1002</t>
  </si>
  <si>
    <t>NOR-67240</t>
  </si>
  <si>
    <t>https://harrowbooks.example/catalog/BK1002</t>
  </si>
  <si>
    <t>HAR-39041</t>
  </si>
  <si>
    <t>DASHBOARD &amp; AUTOMATION</t>
  </si>
  <si>
    <t>Approved - price verified</t>
  </si>
  <si>
    <t>https://wrenfieldbooks.example/catalog/BK1002</t>
  </si>
  <si>
    <t>QA progress, reviewer throughput, and one-click actions (wired via Google Apps Script in Sheets)</t>
  </si>
  <si>
    <t>WRE-55793</t>
  </si>
  <si>
    <t>TOTAL ITEMS</t>
  </si>
  <si>
    <t>Manual entry required - barcode mismatch in system.</t>
  </si>
  <si>
    <t>https://solsticebooks.example/catalog/BK1002</t>
  </si>
  <si>
    <t>SOL-29194</t>
  </si>
  <si>
    <t>CATALOG COMPLETE</t>
  </si>
  <si>
    <t>PENDING RE-APPROVAL</t>
  </si>
  <si>
    <t>DELETED (OUTDATED)</t>
  </si>
  <si>
    <t>Rejected - format mismatch</t>
  </si>
  <si>
    <t>ONE-CLICK ACTIONS</t>
  </si>
  <si>
    <t>BK1003</t>
  </si>
  <si>
    <t>The Gilded River</t>
  </si>
  <si>
    <t>Ines Novak</t>
  </si>
  <si>
    <t>Milltide Editions</t>
  </si>
  <si>
    <t>Seann</t>
  </si>
  <si>
    <t>https://northgatebooks.example/catalog/BK1003</t>
  </si>
  <si>
    <t>NOR-53480</t>
  </si>
  <si>
    <t>Rejected - edition discontinued</t>
  </si>
  <si>
    <t>https://harrowbooks.example/catalog/BK1003</t>
  </si>
  <si>
    <t>HAR-17038</t>
  </si>
  <si>
    <t>https://wrenfieldbooks.example/catalog/BK1003</t>
  </si>
  <si>
    <t>WRE-61996</t>
  </si>
  <si>
    <t>▶  CLEAN DUPLICATE FORMATTING</t>
  </si>
  <si>
    <t>Quantity break pricing verified against distributor site.</t>
  </si>
  <si>
    <t>https://solsticebooks.example/catalog/BK1003</t>
  </si>
  <si>
    <t>Removes redundant conditional-format rules stacked on the same range.</t>
  </si>
  <si>
    <t>SOL-59207</t>
  </si>
  <si>
    <t>▶  CLEAR REDUNDANT ROWS</t>
  </si>
  <si>
    <t>Pending Re-Approval</t>
  </si>
  <si>
    <t>BK1004</t>
  </si>
  <si>
    <t>Flags and removes fully-blank or duplicate item-code rows.</t>
  </si>
  <si>
    <t>The Wandering Coastline</t>
  </si>
  <si>
    <t>Naomi Amari</t>
  </si>
  <si>
    <t>ITEMS BY CATEGORY</t>
  </si>
  <si>
    <t>Children's &amp; YA</t>
  </si>
  <si>
    <t>Young Adult</t>
  </si>
  <si>
    <t>STATUS BREAKDOWN</t>
  </si>
  <si>
    <t>2025-12-24</t>
  </si>
  <si>
    <t>REVIEWER PRODUCTIVITY</t>
  </si>
  <si>
    <t>https://northgatebooks.example/catalog/BK1004</t>
  </si>
  <si>
    <t>NOR-56076</t>
  </si>
  <si>
    <t>Count</t>
  </si>
  <si>
    <t>Reviewer</t>
  </si>
  <si>
    <t>Cover format changed (paperback to hardcover).</t>
  </si>
  <si>
    <t>Items Added</t>
  </si>
  <si>
    <t>https://harrowbooks.example/catalog/BK1004</t>
  </si>
  <si>
    <t>Items Finalized</t>
  </si>
  <si>
    <t>HAR-82534</t>
  </si>
  <si>
    <t>▶  REFRESH PROGRESS LOG</t>
  </si>
  <si>
    <t>Fiction</t>
  </si>
  <si>
    <t>https://wrenfieldbooks.example/catalog/BK1004</t>
  </si>
  <si>
    <t>WRE-96298</t>
  </si>
  <si>
    <t>https://solsticebooks.example/catalog/BK1004</t>
  </si>
  <si>
    <t>SOL-41370</t>
  </si>
  <si>
    <t>Recomputes the daily reviewer log from current Master Tracker data.</t>
  </si>
  <si>
    <t>BK1005</t>
  </si>
  <si>
    <t>The Endless Clockwork</t>
  </si>
  <si>
    <t>Naomi Marchetti</t>
  </si>
  <si>
    <t>Cozy Mystery</t>
  </si>
  <si>
    <t>2025-12-20</t>
  </si>
  <si>
    <t>https://northgatebooks.example/catalog/BK1005</t>
  </si>
  <si>
    <t>NOR-15130</t>
  </si>
  <si>
    <t>Academic &amp; Reference</t>
  </si>
  <si>
    <t>Deleted (Outdated)</t>
  </si>
  <si>
    <t>https://harrowbooks.example/catalog/BK1005</t>
  </si>
  <si>
    <t>HAR-57696</t>
  </si>
  <si>
    <t>▶  EXPORT APPROVED CATALOG</t>
  </si>
  <si>
    <t>https://wrenfieldbooks.example/catalog/BK1005</t>
  </si>
  <si>
    <t>Rebuilds the Approved Catalog sheet from the latest Final Status column.</t>
  </si>
  <si>
    <t>WRE-18639</t>
  </si>
  <si>
    <t>Collector's Editions</t>
  </si>
  <si>
    <t>https://solsticebooks.example/catalog/BK1005</t>
  </si>
  <si>
    <t>These four actions run as one-click buttons once this file is opened in Google Sheets, wired via a companion Apps Script (provided separately).</t>
  </si>
  <si>
    <t>SOL-29709</t>
  </si>
  <si>
    <t>Book Preservation &amp; Storage Supplies</t>
  </si>
  <si>
    <t>Display Furniture &amp; Shelving</t>
  </si>
  <si>
    <t>BK1006</t>
  </si>
  <si>
    <t>The Winter's Bridge</t>
  </si>
  <si>
    <t>Naomi Kessler</t>
  </si>
  <si>
    <t>Audiobooks &amp; Digital</t>
  </si>
  <si>
    <t>Contemporary Fiction</t>
  </si>
  <si>
    <t>2025-12-04</t>
  </si>
  <si>
    <t>Storage Cabinets &amp; Cases</t>
  </si>
  <si>
    <t>https://northgatebooks.example/catalog/BK1006</t>
  </si>
  <si>
    <t>NOR-67560</t>
  </si>
  <si>
    <t>Author Merch &amp; Apparel</t>
  </si>
  <si>
    <t>DAILY PROGRESS LOG</t>
  </si>
  <si>
    <t>Distributor discontinued this edition.</t>
  </si>
  <si>
    <t>https://harrowbooks.example/catalog/BK1006</t>
  </si>
  <si>
    <t>HAR-80776</t>
  </si>
  <si>
    <t>Date</t>
  </si>
  <si>
    <t>Items Logged</t>
  </si>
  <si>
    <t>https://wrenfieldbooks.example/catalog/BK1006</t>
  </si>
  <si>
    <t>WRE-13390</t>
  </si>
  <si>
    <t>https://solsticebooks.example/catalog/BK1006</t>
  </si>
  <si>
    <t>SOL-85529</t>
  </si>
  <si>
    <t>BK1007</t>
  </si>
  <si>
    <t>The Wandering Archive</t>
  </si>
  <si>
    <t>Marcus Amari</t>
  </si>
  <si>
    <t>Ashwell &amp; Kin Press</t>
  </si>
  <si>
    <t>2025-12-07</t>
  </si>
  <si>
    <t>https://northgatebooks.example/catalog/BK1007</t>
  </si>
  <si>
    <t>NOR-18783</t>
  </si>
  <si>
    <t>https://harrowbooks.example/catalog/BK1007</t>
  </si>
  <si>
    <t>HAR-70051</t>
  </si>
  <si>
    <t>https://wrenfieldbooks.example/catalog/BK1007</t>
  </si>
  <si>
    <t>WRE-84264</t>
  </si>
  <si>
    <t>https://solsticebooks.example/catalog/BK1007</t>
  </si>
  <si>
    <t>SOL-23237</t>
  </si>
  <si>
    <t>BK1008</t>
  </si>
  <si>
    <t>The Paper Ledger</t>
  </si>
  <si>
    <t>Callum Bergstrom</t>
  </si>
  <si>
    <t>Anniversary Reprints</t>
  </si>
  <si>
    <t>2025-12-16</t>
  </si>
  <si>
    <t>https://northgatebooks.example/catalog/BK1008</t>
  </si>
  <si>
    <t>NOR-73518</t>
  </si>
  <si>
    <t>https://harrowbooks.example/catalog/BK1008</t>
  </si>
  <si>
    <t>HAR-99744</t>
  </si>
  <si>
    <t>https://wrenfieldbooks.example/catalog/BK1008</t>
  </si>
  <si>
    <t>WRE-14044</t>
  </si>
  <si>
    <t>https://solsticebooks.example/catalog/BK1008</t>
  </si>
  <si>
    <t>SOL-69942</t>
  </si>
  <si>
    <t>BK1009</t>
  </si>
  <si>
    <t>The Autumn's Garden</t>
  </si>
  <si>
    <t>Aldous Delacroix</t>
  </si>
  <si>
    <t>Willowmere Books</t>
  </si>
  <si>
    <t>Dust Jacket Covers</t>
  </si>
  <si>
    <t>2025-12-15</t>
  </si>
  <si>
    <t>https://northgatebooks.example/catalog/BK1009</t>
  </si>
  <si>
    <t>NOR-65534</t>
  </si>
  <si>
    <t>https://harrowbooks.example/catalog/BK1009</t>
  </si>
  <si>
    <t>HAR-14159</t>
  </si>
  <si>
    <t>https://wrenfieldbooks.example/catalog/BK1009</t>
  </si>
  <si>
    <t>WRE-59081</t>
  </si>
  <si>
    <t>https://solsticebooks.example/catalog/BK1009</t>
  </si>
  <si>
    <t>SOL-27431</t>
  </si>
  <si>
    <t>BK1010</t>
  </si>
  <si>
    <t>The Distant Meridian</t>
  </si>
  <si>
    <t>Miriam Delacroix</t>
  </si>
  <si>
    <t>Historical Fiction</t>
  </si>
  <si>
    <t>https://northgatebooks.example/catalog/BK1010</t>
  </si>
  <si>
    <t>NOR-80912</t>
  </si>
  <si>
    <t>https://harrowbooks.example/catalog/BK1010</t>
  </si>
  <si>
    <t>HAR-93066</t>
  </si>
  <si>
    <t>https://wrenfieldbooks.example/catalog/BK1010</t>
  </si>
  <si>
    <t>WRE-52516</t>
  </si>
  <si>
    <t>https://solsticebooks.example/catalog/BK1010</t>
  </si>
  <si>
    <t>SOL-84177</t>
  </si>
  <si>
    <t>BK1011</t>
  </si>
  <si>
    <t>The Gilded Signal</t>
  </si>
  <si>
    <t>Corvus Lane Publishing</t>
  </si>
  <si>
    <t>Study Guides</t>
  </si>
  <si>
    <t>https://northgatebooks.example/catalog/BK1011</t>
  </si>
  <si>
    <t>NOR-28098</t>
  </si>
  <si>
    <t>https://harrowbooks.example/catalog/BK1011</t>
  </si>
  <si>
    <t>HAR-32699</t>
  </si>
  <si>
    <t>https://wrenfieldbooks.example/catalog/BK1011</t>
  </si>
  <si>
    <t>WRE-89963</t>
  </si>
  <si>
    <t>https://solsticebooks.example/catalog/BK1011</t>
  </si>
  <si>
    <t>SOL-47880</t>
  </si>
  <si>
    <t>BK1012</t>
  </si>
  <si>
    <t>The Amber Meridian</t>
  </si>
  <si>
    <t>Sylvie Sundstrom</t>
  </si>
  <si>
    <t>Literary Fiction</t>
  </si>
  <si>
    <t>https://northgatebooks.example/catalog/BK1012</t>
  </si>
  <si>
    <t>NOR-39154</t>
  </si>
  <si>
    <t>https://harrowbooks.example/catalog/BK1012</t>
  </si>
  <si>
    <t>HAR-13101</t>
  </si>
  <si>
    <t>https://wrenfieldbooks.example/catalog/BK1012</t>
  </si>
  <si>
    <t>WRE-56025</t>
  </si>
  <si>
    <t>https://solsticebooks.example/catalog/BK1012</t>
  </si>
  <si>
    <t>SOL-44237</t>
  </si>
  <si>
    <t>BK1013</t>
  </si>
  <si>
    <t>The Forgotten River</t>
  </si>
  <si>
    <t>Elena Kessler</t>
  </si>
  <si>
    <t>https://northgatebooks.example/catalog/BK1013</t>
  </si>
  <si>
    <t>NOR-34704</t>
  </si>
  <si>
    <t>https://harrowbooks.example/catalog/BK1013</t>
  </si>
  <si>
    <t>HAR-90599</t>
  </si>
  <si>
    <t>https://wrenfieldbooks.example/catalog/BK1013</t>
  </si>
  <si>
    <t>WRE-87849</t>
  </si>
  <si>
    <t>https://solsticebooks.example/catalog/BK1013</t>
  </si>
  <si>
    <t>SOL-15798</t>
  </si>
  <si>
    <t>BK1014</t>
  </si>
  <si>
    <t>The Ember Wren</t>
  </si>
  <si>
    <t>Desmond Whitlock</t>
  </si>
  <si>
    <t>Thistledown Press</t>
  </si>
  <si>
    <t>Tote Bags</t>
  </si>
  <si>
    <t>2025-12-14</t>
  </si>
  <si>
    <t>https://northgatebooks.example/catalog/BK1014</t>
  </si>
  <si>
    <t>NOR-76265</t>
  </si>
  <si>
    <t>https://harrowbooks.example/catalog/BK1014</t>
  </si>
  <si>
    <t>HAR-41574</t>
  </si>
  <si>
    <t>https://wrenfieldbooks.example/catalog/BK1014</t>
  </si>
  <si>
    <t>WRE-40801</t>
  </si>
  <si>
    <t>https://solsticebooks.example/catalog/BK1014</t>
  </si>
  <si>
    <t>SOL-51426</t>
  </si>
  <si>
    <t>BK1015</t>
  </si>
  <si>
    <t>The Broken Clockwork</t>
  </si>
  <si>
    <t>Tobias Reyes</t>
  </si>
  <si>
    <t>2025-12-17</t>
  </si>
  <si>
    <t>https://northgatebooks.example/catalog/BK1015</t>
  </si>
  <si>
    <t>NOR-10074</t>
  </si>
  <si>
    <t>https://harrowbooks.example/catalog/BK1015</t>
  </si>
  <si>
    <t>HAR-41385</t>
  </si>
  <si>
    <t>https://wrenfieldbooks.example/catalog/BK1015</t>
  </si>
  <si>
    <t>WRE-79822</t>
  </si>
  <si>
    <t>https://solsticebooks.example/catalog/BK1015</t>
  </si>
  <si>
    <t>SOL-65461</t>
  </si>
  <si>
    <t>BK1016</t>
  </si>
  <si>
    <t>The Paper Meridian</t>
  </si>
  <si>
    <t>Yara Kessler</t>
  </si>
  <si>
    <t>Climate-Safe Sleeves</t>
  </si>
  <si>
    <t>2025-12-09</t>
  </si>
  <si>
    <t>https://northgatebooks.example/catalog/BK1016</t>
  </si>
  <si>
    <t>NOR-96577</t>
  </si>
  <si>
    <t>https://harrowbooks.example/catalog/BK1016</t>
  </si>
  <si>
    <t>HAR-64862</t>
  </si>
  <si>
    <t>https://wrenfieldbooks.example/catalog/BK1016</t>
  </si>
  <si>
    <t>WRE-54979</t>
  </si>
  <si>
    <t>https://solsticebooks.example/catalog/BK1016</t>
  </si>
  <si>
    <t>SOL-76494</t>
  </si>
  <si>
    <t>BK1017</t>
  </si>
  <si>
    <t>The Bright Threshold</t>
  </si>
  <si>
    <t>Desmond Sundstrom</t>
  </si>
  <si>
    <t>Ninth Hollow Press</t>
  </si>
  <si>
    <t>2025-12-18</t>
  </si>
  <si>
    <t>https://northgatebooks.example/catalog/BK1017</t>
  </si>
  <si>
    <t>NOR-84531</t>
  </si>
  <si>
    <t>https://harrowbooks.example/catalog/BK1017</t>
  </si>
  <si>
    <t>HAR-44687</t>
  </si>
  <si>
    <t>https://wrenfieldbooks.example/catalog/BK1017</t>
  </si>
  <si>
    <t>WRE-69048</t>
  </si>
  <si>
    <t>https://solsticebooks.example/catalog/BK1017</t>
  </si>
  <si>
    <t>SOL-69510</t>
  </si>
  <si>
    <t>BK1018</t>
  </si>
  <si>
    <t>The Endless Orchard</t>
  </si>
  <si>
    <t>Elena Delacroix</t>
  </si>
  <si>
    <t>https://northgatebooks.example/catalog/BK1018</t>
  </si>
  <si>
    <t>NOR-70482</t>
  </si>
  <si>
    <t>https://harrowbooks.example/catalog/BK1018</t>
  </si>
  <si>
    <t>HAR-76698</t>
  </si>
  <si>
    <t>https://wrenfieldbooks.example/catalog/BK1018</t>
  </si>
  <si>
    <t>WRE-69871</t>
  </si>
  <si>
    <t>https://solsticebooks.example/catalog/BK1018</t>
  </si>
  <si>
    <t>SOL-46208</t>
  </si>
  <si>
    <t>BK1019</t>
  </si>
  <si>
    <t>Tobias Fennimore</t>
  </si>
  <si>
    <t>2025-12-13</t>
  </si>
  <si>
    <t>https://northgatebooks.example/catalog/BK1019</t>
  </si>
  <si>
    <t>NOR-82132</t>
  </si>
  <si>
    <t>https://harrowbooks.example/catalog/BK1019</t>
  </si>
  <si>
    <t>HAR-31798</t>
  </si>
  <si>
    <t>https://wrenfieldbooks.example/catalog/BK1019</t>
  </si>
  <si>
    <t>WRE-59672</t>
  </si>
  <si>
    <t>https://solsticebooks.example/catalog/BK1019</t>
  </si>
  <si>
    <t>SOL-96752</t>
  </si>
  <si>
    <t>BK1020</t>
  </si>
  <si>
    <t>The Winter's Compass</t>
  </si>
  <si>
    <t>Priya Sundstrom</t>
  </si>
  <si>
    <t>Crime Noir</t>
  </si>
  <si>
    <t>https://northgatebooks.example/catalog/BK1020</t>
  </si>
  <si>
    <t>NOR-59941</t>
  </si>
  <si>
    <t>https://harrowbooks.example/catalog/BK1020</t>
  </si>
  <si>
    <t>HAR-91205</t>
  </si>
  <si>
    <t>https://wrenfieldbooks.example/catalog/BK1020</t>
  </si>
  <si>
    <t>WRE-49608</t>
  </si>
  <si>
    <t>https://solsticebooks.example/catalog/BK1020</t>
  </si>
  <si>
    <t>SOL-22739</t>
  </si>
  <si>
    <t>BK1021</t>
  </si>
  <si>
    <t>The Ember Chronicle</t>
  </si>
  <si>
    <t>Yara Marchetti</t>
  </si>
  <si>
    <t>https://northgatebooks.example/catalog/BK1021</t>
  </si>
  <si>
    <t>NOR-96159</t>
  </si>
  <si>
    <t>https://harrowbooks.example/catalog/BK1021</t>
  </si>
  <si>
    <t>HAR-65028</t>
  </si>
  <si>
    <t>https://wrenfieldbooks.example/catalog/BK1021</t>
  </si>
  <si>
    <t>WRE-21135</t>
  </si>
  <si>
    <t>https://solsticebooks.example/catalog/BK1021</t>
  </si>
  <si>
    <t>SOL-73656</t>
  </si>
  <si>
    <t>BK1022</t>
  </si>
  <si>
    <t>The Wandering Vineyard</t>
  </si>
  <si>
    <t>Desmond Vasquez</t>
  </si>
  <si>
    <t>https://northgatebooks.example/catalog/BK1022</t>
  </si>
  <si>
    <t>NOR-48290</t>
  </si>
  <si>
    <t>https://harrowbooks.example/catalog/BK1022</t>
  </si>
  <si>
    <t>HAR-47268</t>
  </si>
  <si>
    <t>https://wrenfieldbooks.example/catalog/BK1022</t>
  </si>
  <si>
    <t>WRE-72616</t>
  </si>
  <si>
    <t>https://solsticebooks.example/catalog/BK1022</t>
  </si>
  <si>
    <t>SOL-29887</t>
  </si>
  <si>
    <t>BK1023</t>
  </si>
  <si>
    <t>The Crooked Compass</t>
  </si>
  <si>
    <t>Odette Reyes</t>
  </si>
  <si>
    <t>2025-12-05</t>
  </si>
  <si>
    <t>https://northgatebooks.example/catalog/BK1023</t>
  </si>
  <si>
    <t>NOR-14847</t>
  </si>
  <si>
    <t>https://harrowbooks.example/catalog/BK1023</t>
  </si>
  <si>
    <t>HAR-62196</t>
  </si>
  <si>
    <t>https://wrenfieldbooks.example/catalog/BK1023</t>
  </si>
  <si>
    <t>WRE-47501</t>
  </si>
  <si>
    <t>https://solsticebooks.example/catalog/BK1023</t>
  </si>
  <si>
    <t>SOL-67272</t>
  </si>
  <si>
    <t>BK1024</t>
  </si>
  <si>
    <t>The Forgotten Wren</t>
  </si>
  <si>
    <t>Sylvie Whitlock</t>
  </si>
  <si>
    <t>2025-12-03</t>
  </si>
  <si>
    <t>https://northgatebooks.example/catalog/BK1024</t>
  </si>
  <si>
    <t>NOR-48566</t>
  </si>
  <si>
    <t>https://harrowbooks.example/catalog/BK1024</t>
  </si>
  <si>
    <t>HAR-82544</t>
  </si>
  <si>
    <t>https://wrenfieldbooks.example/catalog/BK1024</t>
  </si>
  <si>
    <t>WRE-45509</t>
  </si>
  <si>
    <t>https://solsticebooks.example/catalog/BK1024</t>
  </si>
  <si>
    <t>SOL-35105</t>
  </si>
  <si>
    <t>BK1025</t>
  </si>
  <si>
    <t>The Last Garden</t>
  </si>
  <si>
    <t>https://northgatebooks.example/catalog/BK1025</t>
  </si>
  <si>
    <t>NOR-31319</t>
  </si>
  <si>
    <t>https://harrowbooks.example/catalog/BK1025</t>
  </si>
  <si>
    <t>HAR-89840</t>
  </si>
  <si>
    <t>https://wrenfieldbooks.example/catalog/BK1025</t>
  </si>
  <si>
    <t>WRE-93886</t>
  </si>
  <si>
    <t>https://solsticebooks.example/catalog/BK1025</t>
  </si>
  <si>
    <t>SOL-62581</t>
  </si>
  <si>
    <t>BK1026</t>
  </si>
  <si>
    <t>The Winter's Letters</t>
  </si>
  <si>
    <t>Ines Amari</t>
  </si>
  <si>
    <t>Limited Runs</t>
  </si>
  <si>
    <t>https://northgatebooks.example/catalog/BK1026</t>
  </si>
  <si>
    <t>NOR-73614</t>
  </si>
  <si>
    <t>https://harrowbooks.example/catalog/BK1026</t>
  </si>
  <si>
    <t>HAR-12134</t>
  </si>
  <si>
    <t>https://wrenfieldbooks.example/catalog/BK1026</t>
  </si>
  <si>
    <t>WRE-27290</t>
  </si>
  <si>
    <t>https://solsticebooks.example/catalog/BK1026</t>
  </si>
  <si>
    <t>SOL-58738</t>
  </si>
  <si>
    <t>BK1027</t>
  </si>
  <si>
    <t>The Midnight Harbor</t>
  </si>
  <si>
    <t>Priya Whitlock</t>
  </si>
  <si>
    <t>Archival Boxes</t>
  </si>
  <si>
    <t>2025-12-11</t>
  </si>
  <si>
    <t>https://northgatebooks.example/catalog/BK1027</t>
  </si>
  <si>
    <t>NOR-30766</t>
  </si>
  <si>
    <t>https://harrowbooks.example/catalog/BK1027</t>
  </si>
  <si>
    <t>HAR-62873</t>
  </si>
  <si>
    <t>https://wrenfieldbooks.example/catalog/BK1027</t>
  </si>
  <si>
    <t>WRE-11845</t>
  </si>
  <si>
    <t>https://solsticebooks.example/catalog/BK1027</t>
  </si>
  <si>
    <t>SOL-92141</t>
  </si>
  <si>
    <t>BK1028</t>
  </si>
  <si>
    <t>The Faded Chronicle</t>
  </si>
  <si>
    <t>Priya Holloway</t>
  </si>
  <si>
    <t>https://northgatebooks.example/catalog/BK1028</t>
  </si>
  <si>
    <t>NOR-53463</t>
  </si>
  <si>
    <t>https://harrowbooks.example/catalog/BK1028</t>
  </si>
  <si>
    <t>HAR-77999</t>
  </si>
  <si>
    <t>https://wrenfieldbooks.example/catalog/BK1028</t>
  </si>
  <si>
    <t>WRE-99070</t>
  </si>
  <si>
    <t>https://solsticebooks.example/catalog/BK1028</t>
  </si>
  <si>
    <t>SOL-23703</t>
  </si>
  <si>
    <t>BK1029</t>
  </si>
  <si>
    <t>The Salt Archive</t>
  </si>
  <si>
    <t>Desmond Osei</t>
  </si>
  <si>
    <t>2025-12-01</t>
  </si>
  <si>
    <t>https://northgatebooks.example/catalog/BK1029</t>
  </si>
  <si>
    <t>NOR-31465</t>
  </si>
  <si>
    <t>https://harrowbooks.example/catalog/BK1029</t>
  </si>
  <si>
    <t>HAR-35995</t>
  </si>
  <si>
    <t>https://wrenfieldbooks.example/catalog/BK1029</t>
  </si>
  <si>
    <t>WRE-99687</t>
  </si>
  <si>
    <t>https://solsticebooks.example/catalog/BK1029</t>
  </si>
  <si>
    <t>SOL-19038</t>
  </si>
  <si>
    <t>BK1030</t>
  </si>
  <si>
    <t>The Bright Hourglass</t>
  </si>
  <si>
    <t>Tobias Whitlock</t>
  </si>
  <si>
    <t>https://northgatebooks.example/catalog/BK1030</t>
  </si>
  <si>
    <t>NOR-81874</t>
  </si>
  <si>
    <t>https://harrowbooks.example/catalog/BK1030</t>
  </si>
  <si>
    <t>HAR-89354</t>
  </si>
  <si>
    <t>https://wrenfieldbooks.example/catalog/BK1030</t>
  </si>
  <si>
    <t>WRE-38183</t>
  </si>
  <si>
    <t>https://solsticebooks.example/catalog/BK1030</t>
  </si>
  <si>
    <t>SOL-64524</t>
  </si>
  <si>
    <t>BK1031</t>
  </si>
  <si>
    <t>The Fractured Wren</t>
  </si>
  <si>
    <t>https://northgatebooks.example/catalog/BK1031</t>
  </si>
  <si>
    <t>NOR-20730</t>
  </si>
  <si>
    <t>https://harrowbooks.example/catalog/BK1031</t>
  </si>
  <si>
    <t>HAR-18094</t>
  </si>
  <si>
    <t>https://wrenfieldbooks.example/catalog/BK1031</t>
  </si>
  <si>
    <t>WRE-53007</t>
  </si>
  <si>
    <t>https://solsticebooks.example/catalog/BK1031</t>
  </si>
  <si>
    <t>SOL-21919</t>
  </si>
  <si>
    <t>BK1032</t>
  </si>
  <si>
    <t>The Forgotten Signal</t>
  </si>
  <si>
    <t>Aldous Holloway</t>
  </si>
  <si>
    <t>2025-12-02</t>
  </si>
  <si>
    <t>https://northgatebooks.example/catalog/BK1032</t>
  </si>
  <si>
    <t>NOR-66261</t>
  </si>
  <si>
    <t>https://harrowbooks.example/catalog/BK1032</t>
  </si>
  <si>
    <t>HAR-78614</t>
  </si>
  <si>
    <t>https://wrenfieldbooks.example/catalog/BK1032</t>
  </si>
  <si>
    <t>WRE-12665</t>
  </si>
  <si>
    <t>https://solsticebooks.example/catalog/BK1032</t>
  </si>
  <si>
    <t>SOL-12128</t>
  </si>
  <si>
    <t>BK1033</t>
  </si>
  <si>
    <t>The Gilded Shore</t>
  </si>
  <si>
    <t>Ines Bergstrom</t>
  </si>
  <si>
    <t>2025-12-10</t>
  </si>
  <si>
    <t>https://northgatebooks.example/catalog/BK1033</t>
  </si>
  <si>
    <t>NOR-15856</t>
  </si>
  <si>
    <t>https://harrowbooks.example/catalog/BK1033</t>
  </si>
  <si>
    <t>HAR-77632</t>
  </si>
  <si>
    <t>https://wrenfieldbooks.example/catalog/BK1033</t>
  </si>
  <si>
    <t>WRE-63090</t>
  </si>
  <si>
    <t>https://solsticebooks.example/catalog/BK1033</t>
  </si>
  <si>
    <t>SOL-68926</t>
  </si>
  <si>
    <t>BK1034</t>
  </si>
  <si>
    <t>Audio Bundles</t>
  </si>
  <si>
    <t>https://northgatebooks.example/catalog/BK1034</t>
  </si>
  <si>
    <t>NOR-19836</t>
  </si>
  <si>
    <t>https://harrowbooks.example/catalog/BK1034</t>
  </si>
  <si>
    <t>HAR-70853</t>
  </si>
  <si>
    <t>https://wrenfieldbooks.example/catalog/BK1034</t>
  </si>
  <si>
    <t>WRE-98705</t>
  </si>
  <si>
    <t>https://solsticebooks.example/catalog/BK1034</t>
  </si>
  <si>
    <t>SOL-11267</t>
  </si>
  <si>
    <t>BK1035</t>
  </si>
  <si>
    <t>The Midnight Clockwork</t>
  </si>
  <si>
    <t>Miriam Osei</t>
  </si>
  <si>
    <t>Classic Reprints</t>
  </si>
  <si>
    <t>https://northgatebooks.example/catalog/BK1035</t>
  </si>
  <si>
    <t>NOR-69827</t>
  </si>
  <si>
    <t>https://harrowbooks.example/catalog/BK1035</t>
  </si>
  <si>
    <t>HAR-62028</t>
  </si>
  <si>
    <t>https://wrenfieldbooks.example/catalog/BK1035</t>
  </si>
  <si>
    <t>WRE-33276</t>
  </si>
  <si>
    <t>https://solsticebooks.example/catalog/BK1035</t>
  </si>
  <si>
    <t>SOL-21847</t>
  </si>
  <si>
    <t>BK1036</t>
  </si>
  <si>
    <t>The Blue Ledger</t>
  </si>
  <si>
    <t>Junia Okafor</t>
  </si>
  <si>
    <t>Test Prep</t>
  </si>
  <si>
    <t>https://northgatebooks.example/catalog/BK1036</t>
  </si>
  <si>
    <t>NOR-50327</t>
  </si>
  <si>
    <t>https://harrowbooks.example/catalog/BK1036</t>
  </si>
  <si>
    <t>HAR-44803</t>
  </si>
  <si>
    <t>https://wrenfieldbooks.example/catalog/BK1036</t>
  </si>
  <si>
    <t>WRE-86483</t>
  </si>
  <si>
    <t>https://solsticebooks.example/catalog/BK1036</t>
  </si>
  <si>
    <t>SOL-99224</t>
  </si>
  <si>
    <t>BK1037</t>
  </si>
  <si>
    <t>The Drifting Compass</t>
  </si>
  <si>
    <t>Fernbrook House</t>
  </si>
  <si>
    <t>2025-12-25</t>
  </si>
  <si>
    <t>https://northgatebooks.example/catalog/BK1037</t>
  </si>
  <si>
    <t>NOR-91689</t>
  </si>
  <si>
    <t>https://harrowbooks.example/catalog/BK1037</t>
  </si>
  <si>
    <t>HAR-57920</t>
  </si>
  <si>
    <t>https://wrenfieldbooks.example/catalog/BK1037</t>
  </si>
  <si>
    <t>WRE-27961</t>
  </si>
  <si>
    <t>https://solsticebooks.example/catalog/BK1037</t>
  </si>
  <si>
    <t>SOL-28321</t>
  </si>
  <si>
    <t>BK1038</t>
  </si>
  <si>
    <t>The Bright Coastline</t>
  </si>
  <si>
    <t>Junia Holloway</t>
  </si>
  <si>
    <t>2025-12-19</t>
  </si>
  <si>
    <t>https://northgatebooks.example/catalog/BK1038</t>
  </si>
  <si>
    <t>NOR-47777</t>
  </si>
  <si>
    <t>https://harrowbooks.example/catalog/BK1038</t>
  </si>
  <si>
    <t>HAR-43082</t>
  </si>
  <si>
    <t>https://wrenfieldbooks.example/catalog/BK1038</t>
  </si>
  <si>
    <t>WRE-96200</t>
  </si>
  <si>
    <t>https://solsticebooks.example/catalog/BK1038</t>
  </si>
  <si>
    <t>SOL-75338</t>
  </si>
  <si>
    <t>BK1039</t>
  </si>
  <si>
    <t>The Blue Almanac</t>
  </si>
  <si>
    <t>2025-12-12</t>
  </si>
  <si>
    <t>https://northgatebooks.example/catalog/BK1039</t>
  </si>
  <si>
    <t>NOR-12125</t>
  </si>
  <si>
    <t>https://harrowbooks.example/catalog/BK1039</t>
  </si>
  <si>
    <t>HAR-35715</t>
  </si>
  <si>
    <t>https://wrenfieldbooks.example/catalog/BK1039</t>
  </si>
  <si>
    <t>WRE-43728</t>
  </si>
  <si>
    <t>https://solsticebooks.example/catalog/BK1039</t>
  </si>
  <si>
    <t>SOL-32050</t>
  </si>
  <si>
    <t>BK1040</t>
  </si>
  <si>
    <t>The Quiet Threshold</t>
  </si>
  <si>
    <t>https://northgatebooks.example/catalog/BK1040</t>
  </si>
  <si>
    <t>NOR-11947</t>
  </si>
  <si>
    <t>https://harrowbooks.example/catalog/BK1040</t>
  </si>
  <si>
    <t>HAR-16868</t>
  </si>
  <si>
    <t>https://wrenfieldbooks.example/catalog/BK1040</t>
  </si>
  <si>
    <t>WRE-57453</t>
  </si>
  <si>
    <t>https://solsticebooks.example/catalog/BK1040</t>
  </si>
  <si>
    <t>SOL-96363</t>
  </si>
  <si>
    <t>BK1041</t>
  </si>
  <si>
    <t>The Gilded Harbor</t>
  </si>
  <si>
    <t>Tobias Amari</t>
  </si>
  <si>
    <t>Locking Archive Cabinets</t>
  </si>
  <si>
    <t>https://northgatebooks.example/catalog/BK1041</t>
  </si>
  <si>
    <t>NOR-24818</t>
  </si>
  <si>
    <t>https://harrowbooks.example/catalog/BK1041</t>
  </si>
  <si>
    <t>HAR-84572</t>
  </si>
  <si>
    <t>https://wrenfieldbooks.example/catalog/BK1041</t>
  </si>
  <si>
    <t>WRE-73318</t>
  </si>
  <si>
    <t>https://solsticebooks.example/catalog/BK1041</t>
  </si>
  <si>
    <t>SOL-11620</t>
  </si>
  <si>
    <t>BK1042</t>
  </si>
  <si>
    <t>The Autumn's Archive</t>
  </si>
  <si>
    <t>https://northgatebooks.example/catalog/BK1042</t>
  </si>
  <si>
    <t>NOR-67898</t>
  </si>
  <si>
    <t>https://harrowbooks.example/catalog/BK1042</t>
  </si>
  <si>
    <t>HAR-69878</t>
  </si>
  <si>
    <t>https://wrenfieldbooks.example/catalog/BK1042</t>
  </si>
  <si>
    <t>WRE-57049</t>
  </si>
  <si>
    <t>https://solsticebooks.example/catalog/BK1042</t>
  </si>
  <si>
    <t>SOL-45976</t>
  </si>
  <si>
    <t>BK1043</t>
  </si>
  <si>
    <t>The Wandering Clockwork</t>
  </si>
  <si>
    <t>Yara Osei</t>
  </si>
  <si>
    <t>https://northgatebooks.example/catalog/BK1043</t>
  </si>
  <si>
    <t>NOR-90173</t>
  </si>
  <si>
    <t>https://harrowbooks.example/catalog/BK1043</t>
  </si>
  <si>
    <t>HAR-96951</t>
  </si>
  <si>
    <t>https://wrenfieldbooks.example/catalog/BK1043</t>
  </si>
  <si>
    <t>WRE-30374</t>
  </si>
  <si>
    <t>https://solsticebooks.example/catalog/BK1043</t>
  </si>
  <si>
    <t>SOL-76244</t>
  </si>
  <si>
    <t>BK1044</t>
  </si>
  <si>
    <t>The Paper Letters</t>
  </si>
  <si>
    <t>Sylvie Bergstrom</t>
  </si>
  <si>
    <t>Bookbinding Kits</t>
  </si>
  <si>
    <t>https://northgatebooks.example/catalog/BK1044</t>
  </si>
  <si>
    <t>NOR-44181</t>
  </si>
  <si>
    <t>https://harrowbooks.example/catalog/BK1044</t>
  </si>
  <si>
    <t>HAR-86344</t>
  </si>
  <si>
    <t>https://wrenfieldbooks.example/catalog/BK1044</t>
  </si>
  <si>
    <t>WRE-71000</t>
  </si>
  <si>
    <t>https://solsticebooks.example/catalog/BK1044</t>
  </si>
  <si>
    <t>SOL-25389</t>
  </si>
  <si>
    <t>BK1045</t>
  </si>
  <si>
    <t>The Midnight Lighthouse</t>
  </si>
  <si>
    <t>Tobias Sundstrom</t>
  </si>
  <si>
    <t>https://northgatebooks.example/catalog/BK1045</t>
  </si>
  <si>
    <t>NOR-93769</t>
  </si>
  <si>
    <t>https://harrowbooks.example/catalog/BK1045</t>
  </si>
  <si>
    <t>HAR-70012</t>
  </si>
  <si>
    <t>https://wrenfieldbooks.example/catalog/BK1045</t>
  </si>
  <si>
    <t>WRE-21108</t>
  </si>
  <si>
    <t>https://solsticebooks.example/catalog/BK1045</t>
  </si>
  <si>
    <t>SOL-76954</t>
  </si>
  <si>
    <t>BK1046</t>
  </si>
  <si>
    <t>The Last Bridge</t>
  </si>
  <si>
    <t>Aldous Vasquez</t>
  </si>
  <si>
    <t>https://northgatebooks.example/catalog/BK1046</t>
  </si>
  <si>
    <t>NOR-39430</t>
  </si>
  <si>
    <t>https://harrowbooks.example/catalog/BK1046</t>
  </si>
  <si>
    <t>HAR-15020</t>
  </si>
  <si>
    <t>https://wrenfieldbooks.example/catalog/BK1046</t>
  </si>
  <si>
    <t>WRE-68799</t>
  </si>
  <si>
    <t>https://solsticebooks.example/catalog/BK1046</t>
  </si>
  <si>
    <t>SOL-89807</t>
  </si>
  <si>
    <t>BK1047</t>
  </si>
  <si>
    <t>The Faded Coastline</t>
  </si>
  <si>
    <t>Aldous Okafor</t>
  </si>
  <si>
    <t>https://northgatebooks.example/catalog/BK1047</t>
  </si>
  <si>
    <t>NOR-70931</t>
  </si>
  <si>
    <t>https://harrowbooks.example/catalog/BK1047</t>
  </si>
  <si>
    <t>HAR-46559</t>
  </si>
  <si>
    <t>https://wrenfieldbooks.example/catalog/BK1047</t>
  </si>
  <si>
    <t>WRE-13761</t>
  </si>
  <si>
    <t>https://solsticebooks.example/catalog/BK1047</t>
  </si>
  <si>
    <t>SOL-46655</t>
  </si>
  <si>
    <t>BK1048</t>
  </si>
  <si>
    <t>The Gilded Archive</t>
  </si>
  <si>
    <t>Miriam Reyes</t>
  </si>
  <si>
    <t>Middle Grade</t>
  </si>
  <si>
    <t>https://northgatebooks.example/catalog/BK1048</t>
  </si>
  <si>
    <t>NOR-12187</t>
  </si>
  <si>
    <t>https://harrowbooks.example/catalog/BK1048</t>
  </si>
  <si>
    <t>HAR-76402</t>
  </si>
  <si>
    <t>https://wrenfieldbooks.example/catalog/BK1048</t>
  </si>
  <si>
    <t>WRE-93956</t>
  </si>
  <si>
    <t>https://solsticebooks.example/catalog/BK1048</t>
  </si>
  <si>
    <t>SOL-36633</t>
  </si>
  <si>
    <t>BK1049</t>
  </si>
  <si>
    <t>The Hollow Wren</t>
  </si>
  <si>
    <t>Elena Marchetti</t>
  </si>
  <si>
    <t>https://northgatebooks.example/catalog/BK1049</t>
  </si>
  <si>
    <t>NOR-81568</t>
  </si>
  <si>
    <t>https://harrowbooks.example/catalog/BK1049</t>
  </si>
  <si>
    <t>HAR-31319</t>
  </si>
  <si>
    <t>https://wrenfieldbooks.example/catalog/BK1049</t>
  </si>
  <si>
    <t>WRE-23726</t>
  </si>
  <si>
    <t>https://solsticebooks.example/catalog/BK1049</t>
  </si>
  <si>
    <t>SOL-54295</t>
  </si>
  <si>
    <t>BK1050</t>
  </si>
  <si>
    <t>The Last Chronicle</t>
  </si>
  <si>
    <t>Tobias Marchetti</t>
  </si>
  <si>
    <t>Picture Books</t>
  </si>
  <si>
    <t>2025-12-21</t>
  </si>
  <si>
    <t>https://northgatebooks.example/catalog/BK1050</t>
  </si>
  <si>
    <t>NOR-55032</t>
  </si>
  <si>
    <t>https://harrowbooks.example/catalog/BK1050</t>
  </si>
  <si>
    <t>HAR-40008</t>
  </si>
  <si>
    <t>https://wrenfieldbooks.example/catalog/BK1050</t>
  </si>
  <si>
    <t>WRE-27973</t>
  </si>
  <si>
    <t>https://solsticebooks.example/catalog/BK1050</t>
  </si>
  <si>
    <t>SOL-18966</t>
  </si>
  <si>
    <t>BK1051</t>
  </si>
  <si>
    <t>The Hollow Garden</t>
  </si>
  <si>
    <t>Felix Amari</t>
  </si>
  <si>
    <t>Language Reference</t>
  </si>
  <si>
    <t>https://northgatebooks.example/catalog/BK1051</t>
  </si>
  <si>
    <t>NOR-34881</t>
  </si>
  <si>
    <t>https://harrowbooks.example/catalog/BK1051</t>
  </si>
  <si>
    <t>HAR-13037</t>
  </si>
  <si>
    <t>https://wrenfieldbooks.example/catalog/BK1051</t>
  </si>
  <si>
    <t>WRE-86460</t>
  </si>
  <si>
    <t>https://solsticebooks.example/catalog/BK1051</t>
  </si>
  <si>
    <t>SOL-47453</t>
  </si>
  <si>
    <t>BK1052</t>
  </si>
  <si>
    <t>The Blue Harbor</t>
  </si>
  <si>
    <t>https://northgatebooks.example/catalog/BK1052</t>
  </si>
  <si>
    <t>NOR-49289</t>
  </si>
  <si>
    <t>https://harrowbooks.example/catalog/BK1052</t>
  </si>
  <si>
    <t>HAR-90828</t>
  </si>
  <si>
    <t>https://wrenfieldbooks.example/catalog/BK1052</t>
  </si>
  <si>
    <t>WRE-91289</t>
  </si>
  <si>
    <t>https://solsticebooks.example/catalog/BK1052</t>
  </si>
  <si>
    <t>SOL-27842</t>
  </si>
  <si>
    <t>BK1053</t>
  </si>
  <si>
    <t>The Endless Archive</t>
  </si>
  <si>
    <t>Yara Okafor</t>
  </si>
  <si>
    <t>https://northgatebooks.example/catalog/BK1053</t>
  </si>
  <si>
    <t>NOR-50250</t>
  </si>
  <si>
    <t>https://harrowbooks.example/catalog/BK1053</t>
  </si>
  <si>
    <t>HAR-25437</t>
  </si>
  <si>
    <t>https://wrenfieldbooks.example/catalog/BK1053</t>
  </si>
  <si>
    <t>WRE-71894</t>
  </si>
  <si>
    <t>https://solsticebooks.example/catalog/BK1053</t>
  </si>
  <si>
    <t>SOL-17086</t>
  </si>
  <si>
    <t>BK1054</t>
  </si>
  <si>
    <t>The Crooked River</t>
  </si>
  <si>
    <t>Odette Sundstrom</t>
  </si>
  <si>
    <t>https://northgatebooks.example/catalog/BK1054</t>
  </si>
  <si>
    <t>NOR-19862</t>
  </si>
  <si>
    <t>https://harrowbooks.example/catalog/BK1054</t>
  </si>
  <si>
    <t>HAR-82420</t>
  </si>
  <si>
    <t>https://wrenfieldbooks.example/catalog/BK1054</t>
  </si>
  <si>
    <t>WRE-56898</t>
  </si>
  <si>
    <t>https://solsticebooks.example/catalog/BK1054</t>
  </si>
  <si>
    <t>SOL-30257</t>
  </si>
  <si>
    <t>BK1055</t>
  </si>
  <si>
    <t>The Endless Lighthouse</t>
  </si>
  <si>
    <t>Priya Reyes</t>
  </si>
  <si>
    <t>2025-12-22</t>
  </si>
  <si>
    <t>https://northgatebooks.example/catalog/BK1055</t>
  </si>
  <si>
    <t>NOR-86869</t>
  </si>
  <si>
    <t>https://harrowbooks.example/catalog/BK1055</t>
  </si>
  <si>
    <t>HAR-16743</t>
  </si>
  <si>
    <t>https://wrenfieldbooks.example/catalog/BK1055</t>
  </si>
  <si>
    <t>WRE-30280</t>
  </si>
  <si>
    <t>https://solsticebooks.example/catalog/BK1055</t>
  </si>
  <si>
    <t>SOL-46512</t>
  </si>
  <si>
    <t>BK1056</t>
  </si>
  <si>
    <t>Sylvie Novak</t>
  </si>
  <si>
    <t>https://northgatebooks.example/catalog/BK1056</t>
  </si>
  <si>
    <t>NOR-78146</t>
  </si>
  <si>
    <t>https://harrowbooks.example/catalog/BK1056</t>
  </si>
  <si>
    <t>HAR-57739</t>
  </si>
  <si>
    <t>https://wrenfieldbooks.example/catalog/BK1056</t>
  </si>
  <si>
    <t>WRE-49363</t>
  </si>
  <si>
    <t>https://solsticebooks.example/catalog/BK1056</t>
  </si>
  <si>
    <t>SOL-26683</t>
  </si>
  <si>
    <t>BK1057</t>
  </si>
  <si>
    <t>The Midnight Orchard</t>
  </si>
  <si>
    <t>Rotating Displays</t>
  </si>
  <si>
    <t>https://northgatebooks.example/catalog/BK1057</t>
  </si>
  <si>
    <t>NOR-49467</t>
  </si>
  <si>
    <t>https://harrowbooks.example/catalog/BK1057</t>
  </si>
  <si>
    <t>HAR-64896</t>
  </si>
  <si>
    <t>https://wrenfieldbooks.example/catalog/BK1057</t>
  </si>
  <si>
    <t>WRE-36037</t>
  </si>
  <si>
    <t>https://solsticebooks.example/catalog/BK1057</t>
  </si>
  <si>
    <t>SOL-63707</t>
  </si>
  <si>
    <t>BK1058</t>
  </si>
  <si>
    <t>The Faded Letters</t>
  </si>
  <si>
    <t>Rowan Osei</t>
  </si>
  <si>
    <t>https://northgatebooks.example/catalog/BK1058</t>
  </si>
  <si>
    <t>NOR-29808</t>
  </si>
  <si>
    <t>https://harrowbooks.example/catalog/BK1058</t>
  </si>
  <si>
    <t>HAR-87296</t>
  </si>
  <si>
    <t>https://wrenfieldbooks.example/catalog/BK1058</t>
  </si>
  <si>
    <t>WRE-85066</t>
  </si>
  <si>
    <t>https://solsticebooks.example/catalog/BK1058</t>
  </si>
  <si>
    <t>SOL-75811</t>
  </si>
  <si>
    <t>BK1059</t>
  </si>
  <si>
    <t>The Ember Meridian</t>
  </si>
  <si>
    <t>Rowan Okafor</t>
  </si>
  <si>
    <t>https://northgatebooks.example/catalog/BK1059</t>
  </si>
  <si>
    <t>NOR-57381</t>
  </si>
  <si>
    <t>https://harrowbooks.example/catalog/BK1059</t>
  </si>
  <si>
    <t>HAR-57303</t>
  </si>
  <si>
    <t>https://wrenfieldbooks.example/catalog/BK1059</t>
  </si>
  <si>
    <t>WRE-50539</t>
  </si>
  <si>
    <t>https://solsticebooks.example/catalog/BK1059</t>
  </si>
  <si>
    <t>SOL-19666</t>
  </si>
  <si>
    <t>BK1060</t>
  </si>
  <si>
    <t>The Restless Willow</t>
  </si>
  <si>
    <t>Junia Reyes</t>
  </si>
  <si>
    <t>https://northgatebooks.example/catalog/BK1060</t>
  </si>
  <si>
    <t>NOR-41300</t>
  </si>
  <si>
    <t>https://harrowbooks.example/catalog/BK1060</t>
  </si>
  <si>
    <t>HAR-60604</t>
  </si>
  <si>
    <t>https://wrenfieldbooks.example/catalog/BK1060</t>
  </si>
  <si>
    <t>WRE-14852</t>
  </si>
  <si>
    <t>https://solsticebooks.example/catalog/BK1060</t>
  </si>
  <si>
    <t>SOL-23069</t>
  </si>
  <si>
    <t>BK1061</t>
  </si>
  <si>
    <t>The Bright Orchard</t>
  </si>
  <si>
    <t>Felix Delacroix</t>
  </si>
  <si>
    <t>https://northgatebooks.example/catalog/BK1061</t>
  </si>
  <si>
    <t>NOR-11007</t>
  </si>
  <si>
    <t>https://harrowbooks.example/catalog/BK1061</t>
  </si>
  <si>
    <t>HAR-25726</t>
  </si>
  <si>
    <t>https://wrenfieldbooks.example/catalog/BK1061</t>
  </si>
  <si>
    <t>WRE-75570</t>
  </si>
  <si>
    <t>https://solsticebooks.example/catalog/BK1061</t>
  </si>
  <si>
    <t>SOL-67176</t>
  </si>
  <si>
    <t>BK1062</t>
  </si>
  <si>
    <t>The Paper Almanac</t>
  </si>
  <si>
    <t>Aldous Sundstrom</t>
  </si>
  <si>
    <t>https://northgatebooks.example/catalog/BK1062</t>
  </si>
  <si>
    <t>NOR-92210</t>
  </si>
  <si>
    <t>https://harrowbooks.example/catalog/BK1062</t>
  </si>
  <si>
    <t>HAR-87518</t>
  </si>
  <si>
    <t>https://wrenfieldbooks.example/catalog/BK1062</t>
  </si>
  <si>
    <t>WRE-58331</t>
  </si>
  <si>
    <t>https://solsticebooks.example/catalog/BK1062</t>
  </si>
  <si>
    <t>SOL-86064</t>
  </si>
  <si>
    <t>BK1063</t>
  </si>
  <si>
    <t>The Midnight Hourglass</t>
  </si>
  <si>
    <t>https://northgatebooks.example/catalog/BK1063</t>
  </si>
  <si>
    <t>NOR-22249</t>
  </si>
  <si>
    <t>https://harrowbooks.example/catalog/BK1063</t>
  </si>
  <si>
    <t>HAR-38074</t>
  </si>
  <si>
    <t>https://wrenfieldbooks.example/catalog/BK1063</t>
  </si>
  <si>
    <t>WRE-20114</t>
  </si>
  <si>
    <t>https://solsticebooks.example/catalog/BK1063</t>
  </si>
  <si>
    <t>SOL-14947</t>
  </si>
  <si>
    <t>BK1064</t>
  </si>
  <si>
    <t>The Winter's Coastline</t>
  </si>
  <si>
    <t>Callum Sundstrom</t>
  </si>
  <si>
    <t>https://northgatebooks.example/catalog/BK1064</t>
  </si>
  <si>
    <t>NOR-31229</t>
  </si>
  <si>
    <t>https://harrowbooks.example/catalog/BK1064</t>
  </si>
  <si>
    <t>HAR-47230</t>
  </si>
  <si>
    <t>https://wrenfieldbooks.example/catalog/BK1064</t>
  </si>
  <si>
    <t>WRE-79924</t>
  </si>
  <si>
    <t>https://solsticebooks.example/catalog/BK1064</t>
  </si>
  <si>
    <t>SOL-32439</t>
  </si>
  <si>
    <t>BK1065</t>
  </si>
  <si>
    <t>The Crooked Orchard</t>
  </si>
  <si>
    <t>Odette Fennimore</t>
  </si>
  <si>
    <t>https://northgatebooks.example/catalog/BK1065</t>
  </si>
  <si>
    <t>NOR-48980</t>
  </si>
  <si>
    <t>https://harrowbooks.example/catalog/BK1065</t>
  </si>
  <si>
    <t>HAR-66047</t>
  </si>
  <si>
    <t>https://wrenfieldbooks.example/catalog/BK1065</t>
  </si>
  <si>
    <t>WRE-13373</t>
  </si>
  <si>
    <t>https://solsticebooks.example/catalog/BK1065</t>
  </si>
  <si>
    <t>SOL-62096</t>
  </si>
  <si>
    <t>BK1066</t>
  </si>
  <si>
    <t>The Broken Attic</t>
  </si>
  <si>
    <t>https://northgatebooks.example/catalog/BK1066</t>
  </si>
  <si>
    <t>NOR-45203</t>
  </si>
  <si>
    <t>https://harrowbooks.example/catalog/BK1066</t>
  </si>
  <si>
    <t>HAR-39878</t>
  </si>
  <si>
    <t>https://wrenfieldbooks.example/catalog/BK1066</t>
  </si>
  <si>
    <t>WRE-64627</t>
  </si>
  <si>
    <t>https://solsticebooks.example/catalog/BK1066</t>
  </si>
  <si>
    <t>SOL-73499</t>
  </si>
  <si>
    <t>BK1067</t>
  </si>
  <si>
    <t>The Bright Wren</t>
  </si>
  <si>
    <t>Desmond Marchetti</t>
  </si>
  <si>
    <t>https://northgatebooks.example/catalog/BK1067</t>
  </si>
  <si>
    <t>NOR-25655</t>
  </si>
  <si>
    <t>https://harrowbooks.example/catalog/BK1067</t>
  </si>
  <si>
    <t>HAR-77793</t>
  </si>
  <si>
    <t>https://wrenfieldbooks.example/catalog/BK1067</t>
  </si>
  <si>
    <t>WRE-25473</t>
  </si>
  <si>
    <t>https://solsticebooks.example/catalog/BK1067</t>
  </si>
  <si>
    <t>SOL-92251</t>
  </si>
  <si>
    <t>BK1068</t>
  </si>
  <si>
    <t>The Forgotten Archive</t>
  </si>
  <si>
    <t>Elena Sundstrom</t>
  </si>
  <si>
    <t>https://northgatebooks.example/catalog/BK1068</t>
  </si>
  <si>
    <t>NOR-42662</t>
  </si>
  <si>
    <t>https://harrowbooks.example/catalog/BK1068</t>
  </si>
  <si>
    <t>HAR-51588</t>
  </si>
  <si>
    <t>https://wrenfieldbooks.example/catalog/BK1068</t>
  </si>
  <si>
    <t>WRE-81810</t>
  </si>
  <si>
    <t>https://solsticebooks.example/catalog/BK1068</t>
  </si>
  <si>
    <t>SOL-78327</t>
  </si>
  <si>
    <t>BK1069</t>
  </si>
  <si>
    <t>The Ember Hourglass</t>
  </si>
  <si>
    <t>Miriam Okafor</t>
  </si>
  <si>
    <t>https://northgatebooks.example/catalog/BK1069</t>
  </si>
  <si>
    <t>NOR-83975</t>
  </si>
  <si>
    <t>https://harrowbooks.example/catalog/BK1069</t>
  </si>
  <si>
    <t>HAR-16590</t>
  </si>
  <si>
    <t>https://wrenfieldbooks.example/catalog/BK1069</t>
  </si>
  <si>
    <t>WRE-65255</t>
  </si>
  <si>
    <t>https://solsticebooks.example/catalog/BK1069</t>
  </si>
  <si>
    <t>SOL-95215</t>
  </si>
  <si>
    <t>BK1070</t>
  </si>
  <si>
    <t>The Restless Bridge</t>
  </si>
  <si>
    <t>Odette Novak</t>
  </si>
  <si>
    <t>https://northgatebooks.example/catalog/BK1070</t>
  </si>
  <si>
    <t>NOR-46064</t>
  </si>
  <si>
    <t>https://harrowbooks.example/catalog/BK1070</t>
  </si>
  <si>
    <t>HAR-82856</t>
  </si>
  <si>
    <t>https://wrenfieldbooks.example/catalog/BK1070</t>
  </si>
  <si>
    <t>WRE-64568</t>
  </si>
  <si>
    <t>https://solsticebooks.example/catalog/BK1070</t>
  </si>
  <si>
    <t>SOL-28920</t>
  </si>
  <si>
    <t>BK1071</t>
  </si>
  <si>
    <t>The Winter's Shore</t>
  </si>
  <si>
    <t>Elena Vasquez</t>
  </si>
  <si>
    <t>https://northgatebooks.example/catalog/BK1071</t>
  </si>
  <si>
    <t>NOR-81638</t>
  </si>
  <si>
    <t>https://harrowbooks.example/catalog/BK1071</t>
  </si>
  <si>
    <t>HAR-93354</t>
  </si>
  <si>
    <t>https://wrenfieldbooks.example/catalog/BK1071</t>
  </si>
  <si>
    <t>WRE-50306</t>
  </si>
  <si>
    <t>https://solsticebooks.example/catalog/BK1071</t>
  </si>
  <si>
    <t>SOL-46677</t>
  </si>
  <si>
    <t>BK1072</t>
  </si>
  <si>
    <t>The Crooked Lighthouse</t>
  </si>
  <si>
    <t>Marcus Sundstrom</t>
  </si>
  <si>
    <t>https://northgatebooks.example/catalog/BK1072</t>
  </si>
  <si>
    <t>NOR-76287</t>
  </si>
  <si>
    <t>https://harrowbooks.example/catalog/BK1072</t>
  </si>
  <si>
    <t>HAR-82305</t>
  </si>
  <si>
    <t>https://wrenfieldbooks.example/catalog/BK1072</t>
  </si>
  <si>
    <t>WRE-75826</t>
  </si>
  <si>
    <t>https://solsticebooks.example/catalog/BK1072</t>
  </si>
  <si>
    <t>SOL-29516</t>
  </si>
  <si>
    <t>BK1073</t>
  </si>
  <si>
    <t>The Winter's River</t>
  </si>
  <si>
    <t>Miriam Sundstrom</t>
  </si>
  <si>
    <t>https://northgatebooks.example/catalog/BK1073</t>
  </si>
  <si>
    <t>NOR-33568</t>
  </si>
  <si>
    <t>https://harrowbooks.example/catalog/BK1073</t>
  </si>
  <si>
    <t>HAR-17679</t>
  </si>
  <si>
    <t>https://wrenfieldbooks.example/catalog/BK1073</t>
  </si>
  <si>
    <t>WRE-23124</t>
  </si>
  <si>
    <t>https://solsticebooks.example/catalog/BK1073</t>
  </si>
  <si>
    <t>SOL-60911</t>
  </si>
  <si>
    <t>BK1074</t>
  </si>
  <si>
    <t>The Midnight Almanac</t>
  </si>
  <si>
    <t>Rowan Sundstrom</t>
  </si>
  <si>
    <t>https://northgatebooks.example/catalog/BK1074</t>
  </si>
  <si>
    <t>NOR-48504</t>
  </si>
  <si>
    <t>https://harrowbooks.example/catalog/BK1074</t>
  </si>
  <si>
    <t>HAR-31842</t>
  </si>
  <si>
    <t>https://wrenfieldbooks.example/catalog/BK1074</t>
  </si>
  <si>
    <t>WRE-67008</t>
  </si>
  <si>
    <t>https://solsticebooks.example/catalog/BK1074</t>
  </si>
  <si>
    <t>SOL-57619</t>
  </si>
  <si>
    <t>BK1075</t>
  </si>
  <si>
    <t>The Ember Vineyard</t>
  </si>
  <si>
    <t>Marcus Fennimore</t>
  </si>
  <si>
    <t>https://northgatebooks.example/catalog/BK1075</t>
  </si>
  <si>
    <t>NOR-44100</t>
  </si>
  <si>
    <t>https://harrowbooks.example/catalog/BK1075</t>
  </si>
  <si>
    <t>HAR-22415</t>
  </si>
  <si>
    <t>https://wrenfieldbooks.example/catalog/BK1075</t>
  </si>
  <si>
    <t>WRE-27133</t>
  </si>
  <si>
    <t>https://solsticebooks.example/catalog/BK1075</t>
  </si>
  <si>
    <t>SOL-86326</t>
  </si>
  <si>
    <t>BK1076</t>
  </si>
  <si>
    <t>The Amber Wren</t>
  </si>
  <si>
    <t>https://northgatebooks.example/catalog/BK1076</t>
  </si>
  <si>
    <t>NOR-68115</t>
  </si>
  <si>
    <t>https://harrowbooks.example/catalog/BK1076</t>
  </si>
  <si>
    <t>HAR-81364</t>
  </si>
  <si>
    <t>https://wrenfieldbooks.example/catalog/BK1076</t>
  </si>
  <si>
    <t>WRE-69600</t>
  </si>
  <si>
    <t>https://solsticebooks.example/catalog/BK1076</t>
  </si>
  <si>
    <t>SOL-84000</t>
  </si>
  <si>
    <t>BK1077</t>
  </si>
  <si>
    <t>The Gilded Garden</t>
  </si>
  <si>
    <t>Marcus Novak</t>
  </si>
  <si>
    <t>https://northgatebooks.example/catalog/BK1077</t>
  </si>
  <si>
    <t>NOR-62923</t>
  </si>
  <si>
    <t>https://harrowbooks.example/catalog/BK1077</t>
  </si>
  <si>
    <t>HAR-20745</t>
  </si>
  <si>
    <t>https://wrenfieldbooks.example/catalog/BK1077</t>
  </si>
  <si>
    <t>WRE-97782</t>
  </si>
  <si>
    <t>https://solsticebooks.example/catalog/BK1077</t>
  </si>
  <si>
    <t>SOL-51441</t>
  </si>
  <si>
    <t>BK1078</t>
  </si>
  <si>
    <t>The Crooked Coastline</t>
  </si>
  <si>
    <t>Yara Delacroix</t>
  </si>
  <si>
    <t>https://northgatebooks.example/catalog/BK1078</t>
  </si>
  <si>
    <t>NOR-42096</t>
  </si>
  <si>
    <t>https://harrowbooks.example/catalog/BK1078</t>
  </si>
  <si>
    <t>HAR-30719</t>
  </si>
  <si>
    <t>https://wrenfieldbooks.example/catalog/BK1078</t>
  </si>
  <si>
    <t>WRE-51853</t>
  </si>
  <si>
    <t>https://solsticebooks.example/catalog/BK1078</t>
  </si>
  <si>
    <t>SOL-83616</t>
  </si>
  <si>
    <t>BK1079</t>
  </si>
  <si>
    <t>The Quiet Lighthouse</t>
  </si>
  <si>
    <t>https://northgatebooks.example/catalog/BK1079</t>
  </si>
  <si>
    <t>NOR-58760</t>
  </si>
  <si>
    <t>https://harrowbooks.example/catalog/BK1079</t>
  </si>
  <si>
    <t>HAR-42717</t>
  </si>
  <si>
    <t>https://wrenfieldbooks.example/catalog/BK1079</t>
  </si>
  <si>
    <t>WRE-44311</t>
  </si>
  <si>
    <t>https://solsticebooks.example/catalog/BK1079</t>
  </si>
  <si>
    <t>SOL-74382</t>
  </si>
  <si>
    <t>BK1080</t>
  </si>
  <si>
    <t>The Forgotten Attic</t>
  </si>
  <si>
    <t>Ines Vasquez</t>
  </si>
  <si>
    <t>https://northgatebooks.example/catalog/BK1080</t>
  </si>
  <si>
    <t>NOR-89026</t>
  </si>
  <si>
    <t>https://harrowbooks.example/catalog/BK1080</t>
  </si>
  <si>
    <t>HAR-12009</t>
  </si>
  <si>
    <t>https://wrenfieldbooks.example/catalog/BK1080</t>
  </si>
  <si>
    <t>WRE-41797</t>
  </si>
  <si>
    <t>https://solsticebooks.example/catalog/BK1080</t>
  </si>
  <si>
    <t>SOL-52154</t>
  </si>
  <si>
    <t>BK1081</t>
  </si>
  <si>
    <t>The Forgotten Threshold</t>
  </si>
  <si>
    <t>https://northgatebooks.example/catalog/BK1081</t>
  </si>
  <si>
    <t>NOR-92242</t>
  </si>
  <si>
    <t>https://harrowbooks.example/catalog/BK1081</t>
  </si>
  <si>
    <t>HAR-21813</t>
  </si>
  <si>
    <t>https://wrenfieldbooks.example/catalog/BK1081</t>
  </si>
  <si>
    <t>WRE-79579</t>
  </si>
  <si>
    <t>https://solsticebooks.example/catalog/BK1081</t>
  </si>
  <si>
    <t>SOL-48684</t>
  </si>
  <si>
    <t>BK1082</t>
  </si>
  <si>
    <t>The Forgotten Hourglass</t>
  </si>
  <si>
    <t>Ines Kessler</t>
  </si>
  <si>
    <t>https://northgatebooks.example/catalog/BK1082</t>
  </si>
  <si>
    <t>NOR-88792</t>
  </si>
  <si>
    <t>https://harrowbooks.example/catalog/BK1082</t>
  </si>
  <si>
    <t>HAR-65549</t>
  </si>
  <si>
    <t>https://wrenfieldbooks.example/catalog/BK1082</t>
  </si>
  <si>
    <t>WRE-98761</t>
  </si>
  <si>
    <t>https://solsticebooks.example/catalog/BK1082</t>
  </si>
  <si>
    <t>SOL-83591</t>
  </si>
  <si>
    <t>BK1083</t>
  </si>
  <si>
    <t>The Drifting Meridian</t>
  </si>
  <si>
    <t>Felix Okafor</t>
  </si>
  <si>
    <t>https://northgatebooks.example/catalog/BK1083</t>
  </si>
  <si>
    <t>NOR-87624</t>
  </si>
  <si>
    <t>https://harrowbooks.example/catalog/BK1083</t>
  </si>
  <si>
    <t>HAR-37479</t>
  </si>
  <si>
    <t>https://wrenfieldbooks.example/catalog/BK1083</t>
  </si>
  <si>
    <t>WRE-41722</t>
  </si>
  <si>
    <t>https://solsticebooks.example/catalog/BK1083</t>
  </si>
  <si>
    <t>SOL-86315</t>
  </si>
  <si>
    <t>BK1084</t>
  </si>
  <si>
    <t>The Salt Harbor</t>
  </si>
  <si>
    <t>Aldous Marchetti</t>
  </si>
  <si>
    <t>https://northgatebooks.example/catalog/BK1084</t>
  </si>
  <si>
    <t>NOR-40671</t>
  </si>
  <si>
    <t>https://harrowbooks.example/catalog/BK1084</t>
  </si>
  <si>
    <t>HAR-70513</t>
  </si>
  <si>
    <t>https://wrenfieldbooks.example/catalog/BK1084</t>
  </si>
  <si>
    <t>WRE-89254</t>
  </si>
  <si>
    <t>https://solsticebooks.example/catalog/BK1084</t>
  </si>
  <si>
    <t>SOL-26341</t>
  </si>
  <si>
    <t>BK1085</t>
  </si>
  <si>
    <t>The Fractured Archive</t>
  </si>
  <si>
    <t>https://northgatebooks.example/catalog/BK1085</t>
  </si>
  <si>
    <t>NOR-61773</t>
  </si>
  <si>
    <t>https://harrowbooks.example/catalog/BK1085</t>
  </si>
  <si>
    <t>HAR-46042</t>
  </si>
  <si>
    <t>https://wrenfieldbooks.example/catalog/BK1085</t>
  </si>
  <si>
    <t>WRE-94840</t>
  </si>
  <si>
    <t>https://solsticebooks.example/catalog/BK1085</t>
  </si>
  <si>
    <t>SOL-60202</t>
  </si>
  <si>
    <t>BK1086</t>
  </si>
  <si>
    <t>The Faded Shore</t>
  </si>
  <si>
    <t>Priya Novak</t>
  </si>
  <si>
    <t>https://northgatebooks.example/catalog/BK1086</t>
  </si>
  <si>
    <t>NOR-41034</t>
  </si>
  <si>
    <t>https://harrowbooks.example/catalog/BK1086</t>
  </si>
  <si>
    <t>HAR-51688</t>
  </si>
  <si>
    <t>https://wrenfieldbooks.example/catalog/BK1086</t>
  </si>
  <si>
    <t>WRE-30369</t>
  </si>
  <si>
    <t>https://solsticebooks.example/catalog/BK1086</t>
  </si>
  <si>
    <t>SOL-37215</t>
  </si>
  <si>
    <t>BK1087</t>
  </si>
  <si>
    <t>Tobias Novak</t>
  </si>
  <si>
    <t>https://northgatebooks.example/catalog/BK1087</t>
  </si>
  <si>
    <t>NOR-29671</t>
  </si>
  <si>
    <t>https://harrowbooks.example/catalog/BK1087</t>
  </si>
  <si>
    <t>HAR-39427</t>
  </si>
  <si>
    <t>https://wrenfieldbooks.example/catalog/BK1087</t>
  </si>
  <si>
    <t>WRE-58864</t>
  </si>
  <si>
    <t>https://solsticebooks.example/catalog/BK1087</t>
  </si>
  <si>
    <t>SOL-62550</t>
  </si>
  <si>
    <t>BK1088</t>
  </si>
  <si>
    <t>Felix Kessler</t>
  </si>
  <si>
    <t>https://northgatebooks.example/catalog/BK1088</t>
  </si>
  <si>
    <t>NOR-77000</t>
  </si>
  <si>
    <t>https://harrowbooks.example/catalog/BK1088</t>
  </si>
  <si>
    <t>HAR-77561</t>
  </si>
  <si>
    <t>https://wrenfieldbooks.example/catalog/BK1088</t>
  </si>
  <si>
    <t>WRE-39444</t>
  </si>
  <si>
    <t>https://solsticebooks.example/catalog/BK1088</t>
  </si>
  <si>
    <t>SOL-19545</t>
  </si>
  <si>
    <t>BK1089</t>
  </si>
  <si>
    <t>The Amber Orchard</t>
  </si>
  <si>
    <t>https://northgatebooks.example/catalog/BK1089</t>
  </si>
  <si>
    <t>NOR-64987</t>
  </si>
  <si>
    <t>https://harrowbooks.example/catalog/BK1089</t>
  </si>
  <si>
    <t>HAR-54597</t>
  </si>
  <si>
    <t>https://wrenfieldbooks.example/catalog/BK1089</t>
  </si>
  <si>
    <t>WRE-55082</t>
  </si>
  <si>
    <t>https://solsticebooks.example/catalog/BK1089</t>
  </si>
  <si>
    <t>SOL-20328</t>
  </si>
  <si>
    <t>BK1090</t>
  </si>
  <si>
    <t>The Hollow Attic</t>
  </si>
  <si>
    <t>Rowan Bergstrom</t>
  </si>
  <si>
    <t>https://northgatebooks.example/catalog/BK1090</t>
  </si>
  <si>
    <t>NOR-49021</t>
  </si>
  <si>
    <t>https://harrowbooks.example/catalog/BK1090</t>
  </si>
  <si>
    <t>HAR-67549</t>
  </si>
  <si>
    <t>https://wrenfieldbooks.example/catalog/BK1090</t>
  </si>
  <si>
    <t>WRE-89988</t>
  </si>
  <si>
    <t>https://solsticebooks.example/catalog/BK1090</t>
  </si>
  <si>
    <t>SOL-55982</t>
  </si>
  <si>
    <t>BK1091</t>
  </si>
  <si>
    <t>The Distant Clockwork</t>
  </si>
  <si>
    <t>Tobias Osei</t>
  </si>
  <si>
    <t>https://northgatebooks.example/catalog/BK1091</t>
  </si>
  <si>
    <t>NOR-29168</t>
  </si>
  <si>
    <t>https://harrowbooks.example/catalog/BK1091</t>
  </si>
  <si>
    <t>HAR-92890</t>
  </si>
  <si>
    <t>https://wrenfieldbooks.example/catalog/BK1091</t>
  </si>
  <si>
    <t>WRE-77582</t>
  </si>
  <si>
    <t>https://solsticebooks.example/catalog/BK1091</t>
  </si>
  <si>
    <t>SOL-86278</t>
  </si>
  <si>
    <t>BK1092</t>
  </si>
  <si>
    <t>The Paper Compass</t>
  </si>
  <si>
    <t>Aldous Bergstrom</t>
  </si>
  <si>
    <t>https://northgatebooks.example/catalog/BK1092</t>
  </si>
  <si>
    <t>NOR-10942</t>
  </si>
  <si>
    <t>https://harrowbooks.example/catalog/BK1092</t>
  </si>
  <si>
    <t>HAR-19287</t>
  </si>
  <si>
    <t>https://wrenfieldbooks.example/catalog/BK1092</t>
  </si>
  <si>
    <t>WRE-85525</t>
  </si>
  <si>
    <t>https://solsticebooks.example/catalog/BK1092</t>
  </si>
  <si>
    <t>SOL-56438</t>
  </si>
  <si>
    <t>BK1093</t>
  </si>
  <si>
    <t>Odette Kessler</t>
  </si>
  <si>
    <t>https://northgatebooks.example/catalog/BK1093</t>
  </si>
  <si>
    <t>NOR-62034</t>
  </si>
  <si>
    <t>https://harrowbooks.example/catalog/BK1093</t>
  </si>
  <si>
    <t>HAR-24064</t>
  </si>
  <si>
    <t>https://wrenfieldbooks.example/catalog/BK1093</t>
  </si>
  <si>
    <t>WRE-76088</t>
  </si>
  <si>
    <t>https://solsticebooks.example/catalog/BK1093</t>
  </si>
  <si>
    <t>SOL-34405</t>
  </si>
  <si>
    <t>BK1094</t>
  </si>
  <si>
    <t>The Hollow Willow</t>
  </si>
  <si>
    <t>Miriam Amari</t>
  </si>
  <si>
    <t>https://northgatebooks.example/catalog/BK1094</t>
  </si>
  <si>
    <t>NOR-72793</t>
  </si>
  <si>
    <t>https://harrowbooks.example/catalog/BK1094</t>
  </si>
  <si>
    <t>HAR-27992</t>
  </si>
  <si>
    <t>https://wrenfieldbooks.example/catalog/BK1094</t>
  </si>
  <si>
    <t>WRE-39579</t>
  </si>
  <si>
    <t>https://solsticebooks.example/catalog/BK1094</t>
  </si>
  <si>
    <t>SOL-10679</t>
  </si>
  <si>
    <t>BK1095</t>
  </si>
  <si>
    <t>The Gilded Meridian</t>
  </si>
  <si>
    <t>Priya Osei</t>
  </si>
  <si>
    <t>https://northgatebooks.example/catalog/BK1095</t>
  </si>
  <si>
    <t>NOR-71069</t>
  </si>
  <si>
    <t>https://harrowbooks.example/catalog/BK1095</t>
  </si>
  <si>
    <t>HAR-12560</t>
  </si>
  <si>
    <t>https://wrenfieldbooks.example/catalog/BK1095</t>
  </si>
  <si>
    <t>WRE-61116</t>
  </si>
  <si>
    <t>https://solsticebooks.example/catalog/BK1095</t>
  </si>
  <si>
    <t>SOL-89069</t>
  </si>
  <si>
    <t>BK1096</t>
  </si>
  <si>
    <t>The Endless Letters</t>
  </si>
  <si>
    <t>Aldous Osei</t>
  </si>
  <si>
    <t>https://northgatebooks.example/catalog/BK1096</t>
  </si>
  <si>
    <t>NOR-62350</t>
  </si>
  <si>
    <t>https://harrowbooks.example/catalog/BK1096</t>
  </si>
  <si>
    <t>HAR-24371</t>
  </si>
  <si>
    <t>https://wrenfieldbooks.example/catalog/BK1096</t>
  </si>
  <si>
    <t>WRE-71348</t>
  </si>
  <si>
    <t>https://solsticebooks.example/catalog/BK1096</t>
  </si>
  <si>
    <t>SOL-44973</t>
  </si>
  <si>
    <t>BK1097</t>
  </si>
  <si>
    <t>The Midnight Compass</t>
  </si>
  <si>
    <t>Naomi Novak</t>
  </si>
  <si>
    <t>https://northgatebooks.example/catalog/BK1097</t>
  </si>
  <si>
    <t>NOR-12612</t>
  </si>
  <si>
    <t>https://harrowbooks.example/catalog/BK1097</t>
  </si>
  <si>
    <t>HAR-17806</t>
  </si>
  <si>
    <t>https://wrenfieldbooks.example/catalog/BK1097</t>
  </si>
  <si>
    <t>WRE-19506</t>
  </si>
  <si>
    <t>https://solsticebooks.example/catalog/BK1097</t>
  </si>
  <si>
    <t>SOL-52284</t>
  </si>
  <si>
    <t>BK1098</t>
  </si>
  <si>
    <t>The Blue Willow</t>
  </si>
  <si>
    <t>Felix Osei</t>
  </si>
  <si>
    <t>https://northgatebooks.example/catalog/BK1098</t>
  </si>
  <si>
    <t>NOR-54922</t>
  </si>
  <si>
    <t>https://harrowbooks.example/catalog/BK1098</t>
  </si>
  <si>
    <t>HAR-39939</t>
  </si>
  <si>
    <t>https://wrenfieldbooks.example/catalog/BK1098</t>
  </si>
  <si>
    <t>WRE-32149</t>
  </si>
  <si>
    <t>https://solsticebooks.example/catalog/BK1098</t>
  </si>
  <si>
    <t>SOL-80088</t>
  </si>
  <si>
    <t>BK1099</t>
  </si>
  <si>
    <t>The Forgotten Chronicle</t>
  </si>
  <si>
    <t>Signed Editions</t>
  </si>
  <si>
    <t>https://northgatebooks.example/catalog/BK1099</t>
  </si>
  <si>
    <t>NOR-23965</t>
  </si>
  <si>
    <t>https://harrowbooks.example/catalog/BK1099</t>
  </si>
  <si>
    <t>HAR-27367</t>
  </si>
  <si>
    <t>https://wrenfieldbooks.example/catalog/BK1099</t>
  </si>
  <si>
    <t>WRE-13442</t>
  </si>
  <si>
    <t>https://solsticebooks.example/catalog/BK1099</t>
  </si>
  <si>
    <t>SOL-11617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</si>
</sst>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"/>
    <numFmt numFmtId="165" formatCode="\$#,##0.0000"/>
    <numFmt numFmtId="166" formatCode="yyyy-mm-dd"/>
  </numFmts>
  <fonts count="11">
    <font>
      <sz val="11.0"/>
      <color theme="1"/>
      <name val="Calibri"/>
      <scheme val="minor"/>
    </font>
    <font>
      <b/>
      <sz val="18.0"/>
      <color rgb="FF1A1A1A"/>
      <name val="Arial"/>
    </font>
    <font>
      <color theme="1"/>
      <name val="Calibri"/>
      <scheme val="minor"/>
    </font>
    <font>
      <i/>
      <sz val="10.0"/>
      <color rgb="FF8C8C88"/>
      <name val="Arial"/>
    </font>
    <font>
      <b/>
      <sz val="10.0"/>
      <color rgb="FFFFFFFF"/>
      <name val="Arial"/>
    </font>
    <font>
      <sz val="10.0"/>
      <color rgb="FF1A1A1A"/>
      <name val="Arial"/>
    </font>
    <font>
      <b/>
      <sz val="12.0"/>
      <color rgb="FFFFFFFF"/>
      <name val="Arial"/>
    </font>
    <font/>
    <font>
      <sz val="9.0"/>
      <color rgb="FF8C8C88"/>
      <name val="Arial"/>
    </font>
    <font>
      <b/>
      <sz val="24.0"/>
      <color rgb="FF1A1A1A"/>
      <name val="Arial"/>
    </font>
    <font>
      <sz val="8.0"/>
      <color rgb="FF8C8C8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D6402C"/>
        <bgColor rgb="FFD6402C"/>
      </patternFill>
    </fill>
    <fill>
      <patternFill patternType="solid">
        <fgColor rgb="FFFFFFFF"/>
        <bgColor rgb="FFFFFFFF"/>
      </patternFill>
    </fill>
  </fills>
  <borders count="16">
    <border/>
    <border>
      <left/>
      <right/>
      <top/>
      <bottom/>
    </border>
    <border>
      <bottom style="thin">
        <color rgb="FFE4E3DE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E4E3DE"/>
      </left>
      <top style="thin">
        <color rgb="FFE4E3DE"/>
      </top>
      <bottom style="thin">
        <color rgb="FFE4E3DE"/>
      </bottom>
    </border>
    <border>
      <top style="thin">
        <color rgb="FFE4E3DE"/>
      </top>
      <bottom style="thin">
        <color rgb="FFE4E3DE"/>
      </bottom>
    </border>
    <border>
      <right style="thin">
        <color rgb="FFE4E3DE"/>
      </right>
      <top style="thin">
        <color rgb="FFE4E3DE"/>
      </top>
      <bottom style="thin">
        <color rgb="FFE4E3DE"/>
      </bottom>
    </border>
    <border>
      <left style="thin">
        <color rgb="FFE4E3DE"/>
      </left>
      <top style="thin">
        <color rgb="FFE4E3DE"/>
      </top>
    </border>
    <border>
      <top style="thin">
        <color rgb="FFE4E3DE"/>
      </top>
    </border>
    <border>
      <right style="thin">
        <color rgb="FFE4E3DE"/>
      </right>
      <top style="thin">
        <color rgb="FFE4E3DE"/>
      </top>
    </border>
    <border>
      <left style="thin">
        <color rgb="FFE4E3DE"/>
      </left>
    </border>
    <border>
      <right style="thin">
        <color rgb="FFE4E3DE"/>
      </right>
    </border>
    <border>
      <left style="thin">
        <color rgb="FFE4E3DE"/>
      </left>
      <bottom style="thin">
        <color rgb="FFE4E3DE"/>
      </bottom>
    </border>
    <border>
      <right style="thin">
        <color rgb="FFE4E3DE"/>
      </right>
      <bottom style="thin">
        <color rgb="FFE4E3DE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  <xf borderId="2" fillId="0" fontId="5" numFmtId="0" xfId="0" applyAlignment="1" applyBorder="1" applyFont="1">
      <alignment horizontal="left" shrinkToFit="0" vertical="center" wrapText="1"/>
    </xf>
    <xf borderId="2" fillId="0" fontId="5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3" fillId="2" fontId="6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3" fillId="3" fontId="6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bottom" wrapText="1"/>
    </xf>
    <xf borderId="2" fillId="0" fontId="5" numFmtId="164" xfId="0" applyAlignment="1" applyBorder="1" applyFont="1" applyNumberFormat="1">
      <alignment horizontal="center" shrinkToFit="0" vertical="bottom" wrapText="1"/>
    </xf>
    <xf borderId="2" fillId="0" fontId="5" numFmtId="165" xfId="0" applyAlignment="1" applyBorder="1" applyFont="1" applyNumberFormat="1">
      <alignment horizontal="center" shrinkToFit="0" vertical="bottom" wrapText="1"/>
    </xf>
    <xf borderId="6" fillId="4" fontId="8" numFmtId="0" xfId="0" applyAlignment="1" applyBorder="1" applyFill="1" applyFont="1">
      <alignment horizontal="center" shrinkToFit="0" vertical="center" wrapText="1"/>
    </xf>
    <xf borderId="7" fillId="0" fontId="7" numFmtId="0" xfId="0" applyBorder="1" applyFont="1"/>
    <xf borderId="8" fillId="0" fontId="7" numFmtId="0" xfId="0" applyBorder="1" applyFont="1"/>
    <xf borderId="3" fillId="3" fontId="6" numFmtId="0" xfId="0" applyAlignment="1" applyBorder="1" applyFont="1">
      <alignment shrinkToFit="0" vertical="bottom" wrapText="0"/>
    </xf>
    <xf borderId="9" fillId="4" fontId="9" numFmtId="0" xfId="0" applyAlignment="1" applyBorder="1" applyFont="1">
      <alignment horizontal="center" shrinkToFit="0" vertical="center" wrapText="1"/>
    </xf>
    <xf borderId="10" fillId="0" fontId="7" numFmtId="0" xfId="0" applyBorder="1" applyFont="1"/>
    <xf borderId="11" fillId="0" fontId="7" numFmtId="0" xfId="0" applyBorder="1" applyFont="1"/>
    <xf borderId="3" fillId="2" fontId="4" numFmtId="0" xfId="0" applyAlignment="1" applyBorder="1" applyFont="1">
      <alignment horizontal="left" shrinkToFit="0" vertical="center" wrapText="0"/>
    </xf>
    <xf borderId="12" fillId="0" fontId="7" numFmtId="0" xfId="0" applyBorder="1" applyFont="1"/>
    <xf borderId="13" fillId="0" fontId="7" numFmtId="0" xfId="0" applyBorder="1" applyFont="1"/>
    <xf borderId="0" fillId="0" fontId="10" numFmtId="0" xfId="0" applyAlignment="1" applyFont="1">
      <alignment horizontal="left" shrinkToFit="0" vertical="top" wrapText="1"/>
    </xf>
    <xf borderId="14" fillId="0" fontId="7" numFmtId="0" xfId="0" applyBorder="1" applyFont="1"/>
    <xf borderId="2" fillId="0" fontId="7" numFmtId="0" xfId="0" applyBorder="1" applyFont="1"/>
    <xf borderId="15" fillId="0" fontId="7" numFmtId="0" xfId="0" applyBorder="1" applyFont="1"/>
    <xf borderId="1" fillId="2" fontId="4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top" wrapText="1"/>
    </xf>
    <xf borderId="0" fillId="0" fontId="5" numFmtId="166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E7F0E1"/>
          <bgColor rgb="FFE7F0E1"/>
        </patternFill>
      </fill>
      <border/>
    </dxf>
    <dxf>
      <font/>
      <fill>
        <patternFill patternType="solid">
          <fgColor rgb="FFF7E3E0"/>
          <bgColor rgb="FFF7E3E0"/>
        </patternFill>
      </fill>
      <border/>
    </dxf>
    <dxf>
      <font/>
      <fill>
        <patternFill patternType="solid">
          <fgColor rgb="FFE4E3DE"/>
          <bgColor rgb="FFE4E3D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Items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'Dashboard &amp; Automation'!$A$12:$A$23</c:f>
            </c:strRef>
          </c:cat>
          <c:val>
            <c:numRef>
              <c:f>'Dashboard &amp; Automation'!$B$12:$B$23</c:f>
              <c:numCache/>
            </c:numRef>
          </c:val>
        </c:ser>
        <c:axId val="1552493217"/>
        <c:axId val="2073062916"/>
      </c:barChart>
      <c:catAx>
        <c:axId val="1552493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73062916"/>
      </c:catAx>
      <c:valAx>
        <c:axId val="2073062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52493217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Status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'Dashboard &amp; Automation'!$F$11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&amp; Automation'!$E$12:$E$14</c:f>
            </c:strRef>
          </c:cat>
          <c:val>
            <c:numRef>
              <c:f>'Dashboard &amp; Automation'!$F$12:$F$14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78</xdr:row>
      <xdr:rowOff>95250</xdr:rowOff>
    </xdr:from>
    <xdr:ext cx="7505700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78</xdr:row>
      <xdr:rowOff>95250</xdr:rowOff>
    </xdr:from>
    <xdr:ext cx="4114800" cy="34004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857250</xdr:colOff>
      <xdr:row>3</xdr:row>
      <xdr:rowOff>180975</xdr:rowOff>
    </xdr:from>
    <xdr:ext cx="2314575" cy="361950"/>
    <xdr:grpSp>
      <xdr:nvGrpSpPr>
        <xdr:cNvPr id="2" name="Shape 2" title="Drawing"/>
        <xdr:cNvGrpSpPr/>
      </xdr:nvGrpSpPr>
      <xdr:grpSpPr>
        <a:xfrm>
          <a:off x="2147483647" y="2147483647"/>
          <a:ext cx="-2147483647" cy="-2147483647"/>
          <a:chOff x="2147483647" y="2147483647"/>
          <a:chExt cx="-2147483647" cy="-2147483647"/>
        </a:xfrm>
      </xdr:grpSpPr>
      <xdr:graphicFrame>
        <xdr:nvGraphicFramePr>
          <xdr:cNvPr id="3" name="Shape 3"/>
          <xdr:cNvGraphicFramePr/>
        </xdr:nvGraphicFramePr>
        <xdr:xfrm>
          <a:off x="82350" y="152400"/>
          <a:ext cx="3000000" cy="3000000"/>
        </xdr:xfrm>
        <a:graphic>
          <a:graphicData uri="http://schemas.openxmlformats.org/drawingml/2006/table">
            <a:tbl>
              <a:tblPr>
                <a:noFill/>
                <a:tableStyleId>{19B41699-5CFE-45DD-B3DC-1D9BEC468DF3}</a:tableStyleId>
              </a:tblPr>
              <a:tblGrid>
                <a:gridCol w="938500"/>
                <a:gridCol w="695175"/>
                <a:gridCol w="695175"/>
              </a:tblGrid>
              <a:tr h="276225">
                <a:tc gridSpan="3">
                  <a:txBody>
                    <a:bodyPr/>
                    <a:lstStyle/>
                    <a:p>
                      <a:pPr indent="0" lvl="0" marL="0" rtl="0" algn="l">
                        <a:lnSpc>
                          <a:spcPct val="115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None/>
                      </a:pPr>
                      <a:r>
                        <a:rPr b="1" lang="en-US" sz="1000">
                          <a:solidFill>
                            <a:srgbClr val="FFFFFF"/>
                          </a:solidFill>
                        </a:rPr>
                        <a:t>▶ CLEAN DUPLICATE FORMATTING</a:t>
                      </a:r>
                      <a:endParaRPr b="1" sz="1000">
                        <a:solidFill>
                          <a:srgbClr val="FFFFFF"/>
                        </a:solidFill>
                      </a:endParaRPr>
                    </a:p>
                  </a:txBody>
                  <a:tcPr marT="91425" marB="91425" marR="28575" marL="28575" anchor="ctr">
                    <a:lnL cap="flat" cmpd="sng" w="9525">
                      <a:solidFill>
                        <a:srgbClr val="000000"/>
                      </a:solidFill>
                      <a:prstDash val="solid"/>
                      <a:round/>
                      <a:headEnd len="sm" w="sm" type="none"/>
                      <a:tailEnd len="sm" w="sm" type="none"/>
                    </a:lnL>
                    <a:lnR cap="flat" cmpd="sng" w="9525">
                      <a:solidFill>
                        <a:srgbClr val="000000"/>
                      </a:solidFill>
                      <a:prstDash val="solid"/>
                      <a:round/>
                      <a:headEnd len="sm" w="sm" type="none"/>
                      <a:tailEnd len="sm" w="sm" type="none"/>
                    </a:lnR>
                    <a:lnT cap="flat" cmpd="sng" w="9525">
                      <a:solidFill>
                        <a:srgbClr val="000000"/>
                      </a:solidFill>
                      <a:prstDash val="solid"/>
                      <a:round/>
                      <a:headEnd len="sm" w="sm" type="none"/>
                      <a:tailEnd len="sm" w="sm" type="none"/>
                    </a:lnT>
                    <a:lnB cap="flat" cmpd="sng" w="9525">
                      <a:solidFill>
                        <a:srgbClr val="000000"/>
                      </a:solidFill>
                      <a:prstDash val="solid"/>
                      <a:round/>
                      <a:headEnd len="sm" w="sm" type="none"/>
                      <a:tailEnd len="sm" w="sm" type="none"/>
                    </a:lnB>
                    <a:solidFill>
                      <a:srgbClr val="1A1A1A"/>
                    </a:solidFill>
                  </a:tcPr>
                </a:tc>
                <a:tc hMerge="1"/>
                <a:tc hMerge="1"/>
              </a:tr>
            </a:tbl>
          </a:graphicData>
        </a:graphic>
      </xdr:graphicFrame>
    </xdr:grpSp>
    <xdr:clientData fLocksWithSheet="0"/>
  </xdr:oneCellAnchor>
  <xdr:oneCellAnchor>
    <xdr:from>
      <xdr:col>12</xdr:col>
      <xdr:colOff>857250</xdr:colOff>
      <xdr:row>6</xdr:row>
      <xdr:rowOff>180975</xdr:rowOff>
    </xdr:from>
    <xdr:ext cx="2000250" cy="361950"/>
    <xdr:grpSp>
      <xdr:nvGrpSpPr>
        <xdr:cNvPr id="2" name="Shape 2" title="Drawing"/>
        <xdr:cNvGrpSpPr/>
      </xdr:nvGrpSpPr>
      <xdr:grpSpPr>
        <a:xfrm>
          <a:off x="2147483647" y="2147483647"/>
          <a:ext cx="-2147483647" cy="-2147483647"/>
          <a:chOff x="2147483647" y="2147483647"/>
          <a:chExt cx="-2147483647" cy="-2147483647"/>
        </a:xfrm>
      </xdr:grpSpPr>
      <xdr:graphicFrame>
        <xdr:nvGraphicFramePr>
          <xdr:cNvPr id="4" name="Shape 4"/>
          <xdr:cNvGraphicFramePr/>
        </xdr:nvGraphicFramePr>
        <xdr:xfrm>
          <a:off x="152400" y="152400"/>
          <a:ext cx="3000000" cy="3000000"/>
        </xdr:xfrm>
        <a:graphic>
          <a:graphicData uri="http://schemas.openxmlformats.org/drawingml/2006/table">
            <a:tbl>
              <a:tblPr>
                <a:noFill/>
                <a:tableStyleId>{19B41699-5CFE-45DD-B3DC-1D9BEC468DF3}</a:tableStyleId>
              </a:tblPr>
              <a:tblGrid>
                <a:gridCol w="805425"/>
                <a:gridCol w="596600"/>
                <a:gridCol w="596600"/>
              </a:tblGrid>
              <a:tr h="276225">
                <a:tc gridSpan="3">
                  <a:txBody>
                    <a:bodyPr/>
                    <a:lstStyle/>
                    <a:p>
                      <a:pPr indent="0" lvl="0" marL="0" rtl="0" algn="l">
                        <a:lnSpc>
                          <a:spcPct val="115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None/>
                      </a:pPr>
                      <a:r>
                        <a:rPr b="1" lang="en-US" sz="1000">
                          <a:solidFill>
                            <a:srgbClr val="FFFFFF"/>
                          </a:solidFill>
                        </a:rPr>
                        <a:t>▶ CLEAR REDUNDANT ROWS</a:t>
                      </a:r>
                      <a:endParaRPr b="1" sz="1000">
                        <a:solidFill>
                          <a:srgbClr val="FFFFFF"/>
                        </a:solidFill>
                      </a:endParaRPr>
                    </a:p>
                  </a:txBody>
                  <a:tcPr marT="91425" marB="91425" marR="28575" marL="28575" anchor="ctr">
                    <a:lnL cap="flat" cmpd="sng" w="9525">
                      <a:solidFill>
                        <a:srgbClr val="000000"/>
                      </a:solidFill>
                      <a:prstDash val="solid"/>
                      <a:round/>
                      <a:headEnd len="sm" w="sm" type="none"/>
                      <a:tailEnd len="sm" w="sm" type="none"/>
                    </a:lnL>
                    <a:lnR cap="flat" cmpd="sng" w="9525">
                      <a:solidFill>
                        <a:srgbClr val="000000"/>
                      </a:solidFill>
                      <a:prstDash val="solid"/>
                      <a:round/>
                      <a:headEnd len="sm" w="sm" type="none"/>
                      <a:tailEnd len="sm" w="sm" type="none"/>
                    </a:lnR>
                    <a:lnT cap="flat" cmpd="sng" w="9525">
                      <a:solidFill>
                        <a:srgbClr val="000000"/>
                      </a:solidFill>
                      <a:prstDash val="solid"/>
                      <a:round/>
                      <a:headEnd len="sm" w="sm" type="none"/>
                      <a:tailEnd len="sm" w="sm" type="none"/>
                    </a:lnT>
                    <a:lnB cap="flat" cmpd="sng" w="9525">
                      <a:solidFill>
                        <a:srgbClr val="000000"/>
                      </a:solidFill>
                      <a:prstDash val="solid"/>
                      <a:round/>
                      <a:headEnd len="sm" w="sm" type="none"/>
                      <a:tailEnd len="sm" w="sm" type="none"/>
                    </a:lnB>
                    <a:solidFill>
                      <a:srgbClr val="1A1A1A"/>
                    </a:solidFill>
                  </a:tcPr>
                </a:tc>
                <a:tc hMerge="1"/>
                <a:tc hMerge="1"/>
              </a:tr>
            </a:tbl>
          </a:graphicData>
        </a:graphic>
      </xdr:graphicFrame>
    </xdr:grpSp>
    <xdr:clientData fLocksWithSheet="0"/>
  </xdr:oneCellAnchor>
  <xdr:oneCellAnchor>
    <xdr:from>
      <xdr:col>12</xdr:col>
      <xdr:colOff>857250</xdr:colOff>
      <xdr:row>9</xdr:row>
      <xdr:rowOff>209550</xdr:rowOff>
    </xdr:from>
    <xdr:ext cx="2133600" cy="361950"/>
    <xdr:grpSp>
      <xdr:nvGrpSpPr>
        <xdr:cNvPr id="2" name="Shape 2" title="Drawing"/>
        <xdr:cNvGrpSpPr/>
      </xdr:nvGrpSpPr>
      <xdr:grpSpPr>
        <a:xfrm>
          <a:off x="2147483647" y="2147483647"/>
          <a:ext cx="-2147483647" cy="-2147483647"/>
          <a:chOff x="2147483647" y="2147483647"/>
          <a:chExt cx="-2147483647" cy="-2147483647"/>
        </a:xfrm>
      </xdr:grpSpPr>
      <xdr:graphicFrame>
        <xdr:nvGraphicFramePr>
          <xdr:cNvPr id="5" name="Shape 5"/>
          <xdr:cNvGraphicFramePr/>
        </xdr:nvGraphicFramePr>
        <xdr:xfrm>
          <a:off x="152400" y="152400"/>
          <a:ext cx="3000000" cy="3000000"/>
        </xdr:xfrm>
        <a:graphic>
          <a:graphicData uri="http://schemas.openxmlformats.org/drawingml/2006/table">
            <a:tbl>
              <a:tblPr>
                <a:noFill/>
                <a:tableStyleId>{19B41699-5CFE-45DD-B3DC-1D9BEC468DF3}</a:tableStyleId>
              </a:tblPr>
              <a:tblGrid>
                <a:gridCol w="1051825"/>
                <a:gridCol w="779125"/>
                <a:gridCol w="382850"/>
              </a:tblGrid>
              <a:tr h="276225">
                <a:tc gridSpan="3">
                  <a:txBody>
                    <a:bodyPr/>
                    <a:lstStyle/>
                    <a:p>
                      <a:pPr indent="0" lvl="0" marL="0" rtl="0" algn="l">
                        <a:lnSpc>
                          <a:spcPct val="115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None/>
                      </a:pPr>
                      <a:r>
                        <a:rPr b="1" lang="en-US" sz="1000">
                          <a:solidFill>
                            <a:srgbClr val="FFFFFF"/>
                          </a:solidFill>
                        </a:rPr>
                        <a:t>▶ REFRESH PROGRESS LOG</a:t>
                      </a:r>
                      <a:endParaRPr b="1" sz="1000">
                        <a:solidFill>
                          <a:srgbClr val="FFFFFF"/>
                        </a:solidFill>
                      </a:endParaRPr>
                    </a:p>
                  </a:txBody>
                  <a:tcPr marT="91425" marB="91425" marR="28575" marL="28575" anchor="ctr">
                    <a:lnL cap="flat" cmpd="sng" w="9525">
                      <a:solidFill>
                        <a:srgbClr val="000000"/>
                      </a:solidFill>
                      <a:prstDash val="solid"/>
                      <a:round/>
                      <a:headEnd len="sm" w="sm" type="none"/>
                      <a:tailEnd len="sm" w="sm" type="none"/>
                    </a:lnL>
                    <a:lnR cap="flat" cmpd="sng" w="9525">
                      <a:solidFill>
                        <a:srgbClr val="000000"/>
                      </a:solidFill>
                      <a:prstDash val="solid"/>
                      <a:round/>
                      <a:headEnd len="sm" w="sm" type="none"/>
                      <a:tailEnd len="sm" w="sm" type="none"/>
                    </a:lnR>
                    <a:lnT cap="flat" cmpd="sng" w="9525">
                      <a:solidFill>
                        <a:srgbClr val="000000"/>
                      </a:solidFill>
                      <a:prstDash val="solid"/>
                      <a:round/>
                      <a:headEnd len="sm" w="sm" type="none"/>
                      <a:tailEnd len="sm" w="sm" type="none"/>
                    </a:lnT>
                    <a:lnB cap="flat" cmpd="sng" w="9525">
                      <a:solidFill>
                        <a:srgbClr val="000000"/>
                      </a:solidFill>
                      <a:prstDash val="solid"/>
                      <a:round/>
                      <a:headEnd len="sm" w="sm" type="none"/>
                      <a:tailEnd len="sm" w="sm" type="none"/>
                    </a:lnB>
                    <a:solidFill>
                      <a:srgbClr val="1A1A1A"/>
                    </a:solidFill>
                  </a:tcPr>
                </a:tc>
                <a:tc hMerge="1"/>
                <a:tc hMerge="1"/>
              </a:tr>
            </a:tbl>
          </a:graphicData>
        </a:graphic>
      </xdr:graphicFrame>
    </xdr:grpSp>
    <xdr:clientData fLocksWithSheet="0"/>
  </xdr:oneCellAnchor>
  <xdr:oneCellAnchor>
    <xdr:from>
      <xdr:col>12</xdr:col>
      <xdr:colOff>857250</xdr:colOff>
      <xdr:row>12</xdr:row>
      <xdr:rowOff>171450</xdr:rowOff>
    </xdr:from>
    <xdr:ext cx="2133600" cy="361950"/>
    <xdr:grpSp>
      <xdr:nvGrpSpPr>
        <xdr:cNvPr id="2" name="Shape 2" title="Drawing"/>
        <xdr:cNvGrpSpPr/>
      </xdr:nvGrpSpPr>
      <xdr:grpSpPr>
        <a:xfrm>
          <a:off x="2147483647" y="2147483647"/>
          <a:ext cx="-2147483647" cy="-2147483647"/>
          <a:chOff x="2147483647" y="2147483647"/>
          <a:chExt cx="-2147483647" cy="-2147483647"/>
        </a:xfrm>
      </xdr:grpSpPr>
      <xdr:graphicFrame>
        <xdr:nvGraphicFramePr>
          <xdr:cNvPr id="6" name="Shape 6"/>
          <xdr:cNvGraphicFramePr/>
        </xdr:nvGraphicFramePr>
        <xdr:xfrm>
          <a:off x="152400" y="152400"/>
          <a:ext cx="3000000" cy="3000000"/>
        </xdr:xfrm>
        <a:graphic>
          <a:graphicData uri="http://schemas.openxmlformats.org/drawingml/2006/table">
            <a:tbl>
              <a:tblPr>
                <a:noFill/>
                <a:tableStyleId>{19B41699-5CFE-45DD-B3DC-1D9BEC468DF3}</a:tableStyleId>
              </a:tblPr>
              <a:tblGrid>
                <a:gridCol w="910275"/>
                <a:gridCol w="674275"/>
                <a:gridCol w="674275"/>
              </a:tblGrid>
              <a:tr h="276225">
                <a:tc gridSpan="3">
                  <a:txBody>
                    <a:bodyPr/>
                    <a:lstStyle/>
                    <a:p>
                      <a:pPr indent="0" lvl="0" marL="0" rtl="0" algn="l">
                        <a:lnSpc>
                          <a:spcPct val="115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None/>
                      </a:pPr>
                      <a:r>
                        <a:rPr b="1" lang="en-US" sz="1000">
                          <a:solidFill>
                            <a:srgbClr val="FFFFFF"/>
                          </a:solidFill>
                        </a:rPr>
                        <a:t>▶ EXPORT APPROVED CATALOG</a:t>
                      </a:r>
                      <a:endParaRPr b="1" sz="1000">
                        <a:solidFill>
                          <a:srgbClr val="FFFFFF"/>
                        </a:solidFill>
                      </a:endParaRPr>
                    </a:p>
                  </a:txBody>
                  <a:tcPr marT="91425" marB="91425" marR="28575" marL="28575" anchor="ctr">
                    <a:lnL cap="flat" cmpd="sng" w="9525">
                      <a:solidFill>
                        <a:srgbClr val="000000"/>
                      </a:solidFill>
                      <a:prstDash val="solid"/>
                      <a:round/>
                      <a:headEnd len="sm" w="sm" type="none"/>
                      <a:tailEnd len="sm" w="sm" type="none"/>
                    </a:lnL>
                    <a:lnR cap="flat" cmpd="sng" w="9525">
                      <a:solidFill>
                        <a:srgbClr val="000000"/>
                      </a:solidFill>
                      <a:prstDash val="solid"/>
                      <a:round/>
                      <a:headEnd len="sm" w="sm" type="none"/>
                      <a:tailEnd len="sm" w="sm" type="none"/>
                    </a:lnR>
                    <a:lnT cap="flat" cmpd="sng" w="9525">
                      <a:solidFill>
                        <a:srgbClr val="000000"/>
                      </a:solidFill>
                      <a:prstDash val="solid"/>
                      <a:round/>
                      <a:headEnd len="sm" w="sm" type="none"/>
                      <a:tailEnd len="sm" w="sm" type="none"/>
                    </a:lnT>
                    <a:lnB cap="flat" cmpd="sng" w="9525">
                      <a:solidFill>
                        <a:srgbClr val="000000"/>
                      </a:solidFill>
                      <a:prstDash val="solid"/>
                      <a:round/>
                      <a:headEnd len="sm" w="sm" type="none"/>
                      <a:tailEnd len="sm" w="sm" type="none"/>
                    </a:lnB>
                    <a:solidFill>
                      <a:srgbClr val="1A1A1A"/>
                    </a:solidFill>
                  </a:tcPr>
                </a:tc>
                <a:tc hMerge="1"/>
                <a:tc hMerge="1"/>
              </a:tr>
            </a:tbl>
          </a:graphicData>
        </a:graphic>
      </xdr:graphicFrame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18.0"/>
    <col customWidth="1" min="4" max="6" width="20.0"/>
    <col customWidth="1" min="7" max="8" width="12.0"/>
    <col customWidth="1" min="9" max="9" width="10.0"/>
    <col customWidth="1" min="10" max="10" width="30.0"/>
    <col customWidth="1" min="11" max="13" width="12.0"/>
    <col customWidth="1" min="14" max="14" width="10.0"/>
    <col customWidth="1" min="15" max="15" width="11.0"/>
    <col customWidth="1" min="16" max="16" width="10.0"/>
    <col customWidth="1" min="17" max="17" width="31.0"/>
    <col customWidth="1" min="18" max="18" width="44.71"/>
    <col customWidth="1" min="19" max="19" width="30.0"/>
    <col customWidth="1" min="20" max="22" width="12.0"/>
    <col customWidth="1" min="23" max="23" width="10.0"/>
    <col customWidth="1" min="24" max="24" width="11.0"/>
    <col customWidth="1" min="25" max="25" width="10.0"/>
    <col customWidth="1" min="26" max="26" width="22.0"/>
    <col customWidth="1" min="27" max="28" width="30.0"/>
    <col customWidth="1" min="29" max="31" width="12.0"/>
    <col customWidth="1" min="32" max="32" width="10.0"/>
    <col customWidth="1" min="33" max="33" width="11.0"/>
    <col customWidth="1" min="34" max="34" width="10.0"/>
    <col customWidth="1" min="35" max="35" width="22.0"/>
    <col customWidth="1" min="36" max="37" width="30.0"/>
    <col customWidth="1" min="38" max="40" width="12.0"/>
    <col customWidth="1" min="41" max="41" width="10.0"/>
    <col customWidth="1" min="42" max="42" width="11.0"/>
    <col customWidth="1" min="43" max="43" width="10.0"/>
    <col customWidth="1" min="44" max="44" width="22.0"/>
    <col customWidth="1" min="45" max="45" width="30.0"/>
    <col customWidth="1" min="46" max="46" width="20.0"/>
    <col customWidth="1" min="47" max="47" width="12.0"/>
  </cols>
  <sheetData>
    <row r="1">
      <c r="A1" s="2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>
      <c r="A2" s="7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>
      <c r="A4" s="11" t="s">
        <v>12</v>
      </c>
      <c r="B4" s="12"/>
      <c r="C4" s="12"/>
      <c r="D4" s="12"/>
      <c r="E4" s="12"/>
      <c r="F4" s="12"/>
      <c r="G4" s="12"/>
      <c r="H4" s="12"/>
      <c r="I4" s="13"/>
      <c r="J4" s="14" t="s">
        <v>13</v>
      </c>
      <c r="K4" s="12"/>
      <c r="L4" s="12"/>
      <c r="M4" s="12"/>
      <c r="N4" s="12"/>
      <c r="O4" s="12"/>
      <c r="P4" s="12"/>
      <c r="Q4" s="12"/>
      <c r="R4" s="13"/>
      <c r="S4" s="14" t="s">
        <v>14</v>
      </c>
      <c r="T4" s="12"/>
      <c r="U4" s="12"/>
      <c r="V4" s="12"/>
      <c r="W4" s="12"/>
      <c r="X4" s="12"/>
      <c r="Y4" s="12"/>
      <c r="Z4" s="12"/>
      <c r="AA4" s="13"/>
      <c r="AB4" s="14" t="s">
        <v>15</v>
      </c>
      <c r="AC4" s="12"/>
      <c r="AD4" s="12"/>
      <c r="AE4" s="12"/>
      <c r="AF4" s="12"/>
      <c r="AG4" s="12"/>
      <c r="AH4" s="12"/>
      <c r="AI4" s="12"/>
      <c r="AJ4" s="13"/>
      <c r="AK4" s="14" t="s">
        <v>16</v>
      </c>
      <c r="AL4" s="12"/>
      <c r="AM4" s="12"/>
      <c r="AN4" s="12"/>
      <c r="AO4" s="12"/>
      <c r="AP4" s="12"/>
      <c r="AQ4" s="12"/>
      <c r="AR4" s="12"/>
      <c r="AS4" s="13"/>
      <c r="AT4" s="11" t="s">
        <v>17</v>
      </c>
      <c r="AU4" s="13"/>
    </row>
    <row r="5" ht="30.0" customHeight="1">
      <c r="A5" s="5" t="s">
        <v>3</v>
      </c>
      <c r="B5" s="5" t="s">
        <v>4</v>
      </c>
      <c r="C5" s="5" t="s">
        <v>5</v>
      </c>
      <c r="D5" s="5" t="s">
        <v>18</v>
      </c>
      <c r="E5" s="5" t="s">
        <v>6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7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30</v>
      </c>
      <c r="S5" s="5" t="s">
        <v>23</v>
      </c>
      <c r="T5" s="5" t="s">
        <v>24</v>
      </c>
      <c r="U5" s="5" t="s">
        <v>7</v>
      </c>
      <c r="V5" s="5" t="s">
        <v>25</v>
      </c>
      <c r="W5" s="5" t="s">
        <v>26</v>
      </c>
      <c r="X5" s="5" t="s">
        <v>27</v>
      </c>
      <c r="Y5" s="5" t="s">
        <v>28</v>
      </c>
      <c r="Z5" s="5" t="s">
        <v>29</v>
      </c>
      <c r="AA5" s="5" t="s">
        <v>30</v>
      </c>
      <c r="AB5" s="5" t="s">
        <v>23</v>
      </c>
      <c r="AC5" s="5" t="s">
        <v>24</v>
      </c>
      <c r="AD5" s="5" t="s">
        <v>7</v>
      </c>
      <c r="AE5" s="5" t="s">
        <v>25</v>
      </c>
      <c r="AF5" s="5" t="s">
        <v>26</v>
      </c>
      <c r="AG5" s="5" t="s">
        <v>27</v>
      </c>
      <c r="AH5" s="5" t="s">
        <v>28</v>
      </c>
      <c r="AI5" s="5" t="s">
        <v>29</v>
      </c>
      <c r="AJ5" s="5" t="s">
        <v>30</v>
      </c>
      <c r="AK5" s="5" t="s">
        <v>23</v>
      </c>
      <c r="AL5" s="5" t="s">
        <v>24</v>
      </c>
      <c r="AM5" s="5" t="s">
        <v>7</v>
      </c>
      <c r="AN5" s="5" t="s">
        <v>25</v>
      </c>
      <c r="AO5" s="5" t="s">
        <v>26</v>
      </c>
      <c r="AP5" s="5" t="s">
        <v>27</v>
      </c>
      <c r="AQ5" s="5" t="s">
        <v>28</v>
      </c>
      <c r="AR5" s="5" t="s">
        <v>29</v>
      </c>
      <c r="AS5" s="5" t="s">
        <v>30</v>
      </c>
      <c r="AT5" s="5" t="s">
        <v>31</v>
      </c>
      <c r="AU5" s="5" t="s">
        <v>32</v>
      </c>
    </row>
    <row r="6" ht="30.0" customHeight="1">
      <c r="A6" s="6" t="s">
        <v>33</v>
      </c>
      <c r="B6" s="8" t="s">
        <v>34</v>
      </c>
      <c r="C6" s="8" t="s">
        <v>35</v>
      </c>
      <c r="D6" s="8" t="s">
        <v>36</v>
      </c>
      <c r="E6" s="8" t="s">
        <v>37</v>
      </c>
      <c r="F6" s="8" t="s">
        <v>38</v>
      </c>
      <c r="G6" s="6" t="s">
        <v>39</v>
      </c>
      <c r="H6" s="6" t="s">
        <v>40</v>
      </c>
      <c r="I6" s="6" t="s">
        <v>41</v>
      </c>
      <c r="J6" s="15" t="s">
        <v>42</v>
      </c>
      <c r="K6" s="15" t="s">
        <v>43</v>
      </c>
      <c r="L6" s="16">
        <v>50.21</v>
      </c>
      <c r="M6" s="16">
        <v>70.89</v>
      </c>
      <c r="N6" s="15">
        <v>1.0</v>
      </c>
      <c r="O6" s="17">
        <f t="shared" ref="O6:O105" si="1">IFERROR(M6/N6,0)</f>
        <v>70.89</v>
      </c>
      <c r="P6" s="15" t="s">
        <v>44</v>
      </c>
      <c r="Q6" s="15" t="s">
        <v>45</v>
      </c>
      <c r="R6" s="15" t="s">
        <v>46</v>
      </c>
      <c r="S6" s="15" t="s">
        <v>47</v>
      </c>
      <c r="T6" s="15" t="s">
        <v>48</v>
      </c>
      <c r="U6" s="16">
        <v>50.21</v>
      </c>
      <c r="V6" s="16">
        <v>59.25</v>
      </c>
      <c r="W6" s="15">
        <v>10.0</v>
      </c>
      <c r="X6" s="17">
        <f t="shared" ref="X6:X105" si="2">IFERROR(V6/W6,0)</f>
        <v>5.925</v>
      </c>
      <c r="Y6" s="15" t="s">
        <v>44</v>
      </c>
      <c r="Z6" s="15" t="s">
        <v>49</v>
      </c>
      <c r="AA6" s="15" t="s">
        <v>50</v>
      </c>
      <c r="AB6" s="15" t="s">
        <v>51</v>
      </c>
      <c r="AC6" s="15" t="s">
        <v>52</v>
      </c>
      <c r="AD6" s="16">
        <v>50.21</v>
      </c>
      <c r="AE6" s="16">
        <v>61.13</v>
      </c>
      <c r="AF6" s="15">
        <v>10.0</v>
      </c>
      <c r="AG6" s="17">
        <f t="shared" ref="AG6:AG105" si="3">IFERROR(AE6/AF6,0)</f>
        <v>6.113</v>
      </c>
      <c r="AH6" s="15" t="s">
        <v>44</v>
      </c>
      <c r="AI6" s="15" t="s">
        <v>49</v>
      </c>
      <c r="AJ6" s="15" t="s">
        <v>53</v>
      </c>
      <c r="AK6" s="15" t="s">
        <v>54</v>
      </c>
      <c r="AL6" s="15" t="s">
        <v>55</v>
      </c>
      <c r="AM6" s="16">
        <v>50.21</v>
      </c>
      <c r="AN6" s="16">
        <v>55.76</v>
      </c>
      <c r="AO6" s="15">
        <v>10.0</v>
      </c>
      <c r="AP6" s="17">
        <f t="shared" ref="AP6:AP105" si="4">IFERROR(AN6/AO6,0)</f>
        <v>5.576</v>
      </c>
      <c r="AQ6" s="15" t="s">
        <v>44</v>
      </c>
      <c r="AR6" s="15" t="s">
        <v>45</v>
      </c>
      <c r="AS6" s="15" t="s">
        <v>56</v>
      </c>
      <c r="AT6" s="15" t="s">
        <v>57</v>
      </c>
      <c r="AU6" s="15" t="s">
        <v>41</v>
      </c>
    </row>
    <row r="7" ht="30.0" customHeight="1">
      <c r="A7" s="6" t="s">
        <v>58</v>
      </c>
      <c r="B7" s="8" t="s">
        <v>59</v>
      </c>
      <c r="C7" s="8" t="s">
        <v>60</v>
      </c>
      <c r="D7" s="8" t="s">
        <v>61</v>
      </c>
      <c r="E7" s="8" t="s">
        <v>62</v>
      </c>
      <c r="F7" s="8" t="s">
        <v>63</v>
      </c>
      <c r="G7" s="6" t="s">
        <v>39</v>
      </c>
      <c r="H7" s="6" t="s">
        <v>64</v>
      </c>
      <c r="I7" s="6" t="s">
        <v>41</v>
      </c>
      <c r="J7" s="15" t="s">
        <v>65</v>
      </c>
      <c r="K7" s="15" t="s">
        <v>66</v>
      </c>
      <c r="L7" s="16">
        <v>60.19</v>
      </c>
      <c r="M7" s="16">
        <v>68.53</v>
      </c>
      <c r="N7" s="15">
        <v>24.0</v>
      </c>
      <c r="O7" s="17">
        <f t="shared" si="1"/>
        <v>2.855416667</v>
      </c>
      <c r="P7" s="15" t="s">
        <v>44</v>
      </c>
      <c r="Q7" s="15" t="s">
        <v>67</v>
      </c>
      <c r="R7" s="15" t="s">
        <v>46</v>
      </c>
      <c r="S7" s="15" t="s">
        <v>68</v>
      </c>
      <c r="T7" s="15" t="s">
        <v>69</v>
      </c>
      <c r="U7" s="16">
        <v>60.19</v>
      </c>
      <c r="V7" s="16">
        <v>68.84</v>
      </c>
      <c r="W7" s="15">
        <v>24.0</v>
      </c>
      <c r="X7" s="17">
        <f t="shared" si="2"/>
        <v>2.868333333</v>
      </c>
      <c r="Y7" s="15" t="s">
        <v>44</v>
      </c>
      <c r="Z7" s="15" t="s">
        <v>67</v>
      </c>
      <c r="AA7" s="15" t="s">
        <v>70</v>
      </c>
      <c r="AB7" s="15" t="s">
        <v>71</v>
      </c>
      <c r="AC7" s="15" t="s">
        <v>72</v>
      </c>
      <c r="AD7" s="16">
        <v>60.19</v>
      </c>
      <c r="AE7" s="16">
        <v>64.87</v>
      </c>
      <c r="AF7" s="15">
        <v>24.0</v>
      </c>
      <c r="AG7" s="17">
        <f t="shared" si="3"/>
        <v>2.702916667</v>
      </c>
      <c r="AH7" s="15" t="s">
        <v>44</v>
      </c>
      <c r="AI7" s="15" t="s">
        <v>67</v>
      </c>
      <c r="AJ7" s="15" t="s">
        <v>73</v>
      </c>
      <c r="AK7" s="15" t="s">
        <v>74</v>
      </c>
      <c r="AL7" s="15" t="s">
        <v>75</v>
      </c>
      <c r="AM7" s="16">
        <v>60.19</v>
      </c>
      <c r="AN7" s="16">
        <v>67.8</v>
      </c>
      <c r="AO7" s="15">
        <v>1.0</v>
      </c>
      <c r="AP7" s="17">
        <f t="shared" si="4"/>
        <v>67.8</v>
      </c>
      <c r="AQ7" s="15" t="s">
        <v>44</v>
      </c>
      <c r="AR7" s="15" t="s">
        <v>76</v>
      </c>
      <c r="AS7" s="15" t="s">
        <v>70</v>
      </c>
      <c r="AT7" s="15" t="s">
        <v>57</v>
      </c>
      <c r="AU7" s="15" t="s">
        <v>41</v>
      </c>
    </row>
    <row r="8" ht="30.0" customHeight="1">
      <c r="A8" s="6" t="s">
        <v>77</v>
      </c>
      <c r="B8" s="8" t="s">
        <v>78</v>
      </c>
      <c r="C8" s="8" t="s">
        <v>79</v>
      </c>
      <c r="D8" s="8" t="s">
        <v>80</v>
      </c>
      <c r="E8" s="8" t="s">
        <v>81</v>
      </c>
      <c r="F8" s="8" t="s">
        <v>82</v>
      </c>
      <c r="G8" s="6" t="s">
        <v>39</v>
      </c>
      <c r="H8" s="6" t="s">
        <v>83</v>
      </c>
      <c r="I8" s="6" t="s">
        <v>41</v>
      </c>
      <c r="J8" s="15" t="s">
        <v>84</v>
      </c>
      <c r="K8" s="15" t="s">
        <v>85</v>
      </c>
      <c r="L8" s="16">
        <v>79.22</v>
      </c>
      <c r="M8" s="16">
        <v>101.95</v>
      </c>
      <c r="N8" s="15">
        <v>50.0</v>
      </c>
      <c r="O8" s="17">
        <f t="shared" si="1"/>
        <v>2.039</v>
      </c>
      <c r="P8" s="15" t="s">
        <v>44</v>
      </c>
      <c r="Q8" s="15" t="s">
        <v>45</v>
      </c>
      <c r="R8" s="15" t="s">
        <v>73</v>
      </c>
      <c r="S8" s="15" t="s">
        <v>86</v>
      </c>
      <c r="T8" s="15" t="s">
        <v>87</v>
      </c>
      <c r="U8" s="16">
        <v>79.22</v>
      </c>
      <c r="V8" s="16">
        <v>98.44</v>
      </c>
      <c r="W8" s="15">
        <v>25.0</v>
      </c>
      <c r="X8" s="17">
        <f t="shared" si="2"/>
        <v>3.9376</v>
      </c>
      <c r="Y8" s="15" t="s">
        <v>44</v>
      </c>
      <c r="Z8" s="15" t="s">
        <v>89</v>
      </c>
      <c r="AA8" s="15" t="s">
        <v>70</v>
      </c>
      <c r="AB8" s="15" t="s">
        <v>90</v>
      </c>
      <c r="AC8" s="15" t="s">
        <v>92</v>
      </c>
      <c r="AD8" s="16">
        <v>79.22</v>
      </c>
      <c r="AE8" s="16">
        <v>83.7</v>
      </c>
      <c r="AF8" s="15">
        <v>100.0</v>
      </c>
      <c r="AG8" s="17">
        <f t="shared" si="3"/>
        <v>0.837</v>
      </c>
      <c r="AH8" s="15" t="s">
        <v>44</v>
      </c>
      <c r="AI8" s="15" t="s">
        <v>67</v>
      </c>
      <c r="AJ8" s="15" t="s">
        <v>94</v>
      </c>
      <c r="AK8" s="15" t="s">
        <v>95</v>
      </c>
      <c r="AL8" s="15" t="s">
        <v>96</v>
      </c>
      <c r="AM8" s="16">
        <v>79.22</v>
      </c>
      <c r="AN8" s="16">
        <v>84.22</v>
      </c>
      <c r="AO8" s="15">
        <v>12.0</v>
      </c>
      <c r="AP8" s="17">
        <f t="shared" si="4"/>
        <v>7.018333333</v>
      </c>
      <c r="AQ8" s="15" t="s">
        <v>44</v>
      </c>
      <c r="AR8" s="15" t="s">
        <v>100</v>
      </c>
      <c r="AS8" s="15" t="s">
        <v>73</v>
      </c>
      <c r="AT8" s="15" t="s">
        <v>57</v>
      </c>
      <c r="AU8" s="15" t="s">
        <v>41</v>
      </c>
    </row>
    <row r="9" ht="30.0" customHeight="1">
      <c r="A9" s="6" t="s">
        <v>102</v>
      </c>
      <c r="B9" s="8" t="s">
        <v>103</v>
      </c>
      <c r="C9" s="8" t="s">
        <v>104</v>
      </c>
      <c r="D9" s="8" t="s">
        <v>105</v>
      </c>
      <c r="E9" s="8" t="s">
        <v>37</v>
      </c>
      <c r="F9" s="8" t="s">
        <v>38</v>
      </c>
      <c r="G9" s="6" t="s">
        <v>44</v>
      </c>
      <c r="H9" s="6" t="s">
        <v>64</v>
      </c>
      <c r="I9" s="6" t="s">
        <v>106</v>
      </c>
      <c r="J9" s="15" t="s">
        <v>107</v>
      </c>
      <c r="K9" s="15" t="s">
        <v>108</v>
      </c>
      <c r="L9" s="16">
        <v>55.25</v>
      </c>
      <c r="M9" s="16">
        <v>76.36</v>
      </c>
      <c r="N9" s="15">
        <v>5.0</v>
      </c>
      <c r="O9" s="17">
        <f t="shared" si="1"/>
        <v>15.272</v>
      </c>
      <c r="P9" s="15" t="s">
        <v>44</v>
      </c>
      <c r="Q9" s="15" t="s">
        <v>109</v>
      </c>
      <c r="R9" s="15" t="s">
        <v>53</v>
      </c>
      <c r="S9" s="15" t="s">
        <v>110</v>
      </c>
      <c r="T9" s="15" t="s">
        <v>111</v>
      </c>
      <c r="U9" s="16">
        <v>55.25</v>
      </c>
      <c r="V9" s="16">
        <v>64.47</v>
      </c>
      <c r="W9" s="15">
        <v>50.0</v>
      </c>
      <c r="X9" s="17">
        <f t="shared" si="2"/>
        <v>1.2894</v>
      </c>
      <c r="Y9" s="15" t="s">
        <v>44</v>
      </c>
      <c r="Z9" s="15" t="s">
        <v>76</v>
      </c>
      <c r="AA9" s="15" t="s">
        <v>70</v>
      </c>
      <c r="AB9" s="15" t="s">
        <v>112</v>
      </c>
      <c r="AC9" s="15" t="s">
        <v>113</v>
      </c>
      <c r="AD9" s="16">
        <v>55.25</v>
      </c>
      <c r="AE9" s="16">
        <v>58.23</v>
      </c>
      <c r="AF9" s="15">
        <v>1.0</v>
      </c>
      <c r="AG9" s="17">
        <f t="shared" si="3"/>
        <v>58.23</v>
      </c>
      <c r="AH9" s="15" t="s">
        <v>44</v>
      </c>
      <c r="AI9" s="15" t="s">
        <v>67</v>
      </c>
      <c r="AJ9" s="15" t="s">
        <v>115</v>
      </c>
      <c r="AK9" s="15" t="s">
        <v>116</v>
      </c>
      <c r="AL9" s="15" t="s">
        <v>118</v>
      </c>
      <c r="AM9" s="16">
        <v>55.25</v>
      </c>
      <c r="AN9" s="16">
        <v>77.23</v>
      </c>
      <c r="AO9" s="15">
        <v>10.0</v>
      </c>
      <c r="AP9" s="17">
        <f t="shared" si="4"/>
        <v>7.723</v>
      </c>
      <c r="AQ9" s="15" t="s">
        <v>44</v>
      </c>
      <c r="AR9" s="15" t="s">
        <v>89</v>
      </c>
      <c r="AS9" s="15" t="s">
        <v>53</v>
      </c>
      <c r="AT9" s="15" t="s">
        <v>120</v>
      </c>
      <c r="AU9" s="15" t="s">
        <v>106</v>
      </c>
    </row>
    <row r="10" ht="30.0" customHeight="1">
      <c r="A10" s="6" t="s">
        <v>121</v>
      </c>
      <c r="B10" s="8" t="s">
        <v>123</v>
      </c>
      <c r="C10" s="8" t="s">
        <v>124</v>
      </c>
      <c r="D10" s="8" t="s">
        <v>61</v>
      </c>
      <c r="E10" s="8" t="s">
        <v>126</v>
      </c>
      <c r="F10" s="8" t="s">
        <v>127</v>
      </c>
      <c r="G10" s="6" t="s">
        <v>44</v>
      </c>
      <c r="H10" s="6" t="s">
        <v>129</v>
      </c>
      <c r="I10" s="6" t="s">
        <v>41</v>
      </c>
      <c r="J10" s="15" t="s">
        <v>131</v>
      </c>
      <c r="K10" s="15" t="s">
        <v>132</v>
      </c>
      <c r="L10" s="16">
        <v>4.88</v>
      </c>
      <c r="M10" s="16">
        <v>6.27</v>
      </c>
      <c r="N10" s="15">
        <v>1.0</v>
      </c>
      <c r="O10" s="17">
        <f t="shared" si="1"/>
        <v>6.27</v>
      </c>
      <c r="P10" s="15" t="s">
        <v>39</v>
      </c>
      <c r="Q10" s="15" t="s">
        <v>76</v>
      </c>
      <c r="R10" s="15" t="s">
        <v>135</v>
      </c>
      <c r="S10" s="15" t="s">
        <v>137</v>
      </c>
      <c r="T10" s="15" t="s">
        <v>139</v>
      </c>
      <c r="U10" s="16">
        <v>4.88</v>
      </c>
      <c r="V10" s="16">
        <v>6.46</v>
      </c>
      <c r="W10" s="15">
        <v>1.0</v>
      </c>
      <c r="X10" s="17">
        <f t="shared" si="2"/>
        <v>6.46</v>
      </c>
      <c r="Y10" s="15" t="s">
        <v>39</v>
      </c>
      <c r="Z10" s="15" t="s">
        <v>49</v>
      </c>
      <c r="AA10" s="15" t="s">
        <v>94</v>
      </c>
      <c r="AB10" s="15" t="s">
        <v>142</v>
      </c>
      <c r="AC10" s="15" t="s">
        <v>143</v>
      </c>
      <c r="AD10" s="16">
        <v>4.88</v>
      </c>
      <c r="AE10" s="16">
        <v>5.8</v>
      </c>
      <c r="AF10" s="15">
        <v>24.0</v>
      </c>
      <c r="AG10" s="17">
        <f t="shared" si="3"/>
        <v>0.2416666667</v>
      </c>
      <c r="AH10" s="15" t="s">
        <v>44</v>
      </c>
      <c r="AI10" s="15" t="s">
        <v>76</v>
      </c>
      <c r="AJ10" s="15" t="s">
        <v>46</v>
      </c>
      <c r="AK10" s="15" t="s">
        <v>144</v>
      </c>
      <c r="AL10" s="15" t="s">
        <v>145</v>
      </c>
      <c r="AM10" s="16">
        <v>4.88</v>
      </c>
      <c r="AN10" s="16">
        <v>6.3</v>
      </c>
      <c r="AO10" s="15">
        <v>100.0</v>
      </c>
      <c r="AP10" s="17">
        <f t="shared" si="4"/>
        <v>0.063</v>
      </c>
      <c r="AQ10" s="15" t="s">
        <v>39</v>
      </c>
      <c r="AR10" s="15" t="s">
        <v>109</v>
      </c>
      <c r="AS10" s="15" t="s">
        <v>46</v>
      </c>
      <c r="AT10" s="15" t="s">
        <v>120</v>
      </c>
      <c r="AU10" s="15" t="s">
        <v>41</v>
      </c>
    </row>
    <row r="11" ht="30.0" customHeight="1">
      <c r="A11" s="6" t="s">
        <v>147</v>
      </c>
      <c r="B11" s="8" t="s">
        <v>148</v>
      </c>
      <c r="C11" s="8" t="s">
        <v>149</v>
      </c>
      <c r="D11" s="8" t="s">
        <v>36</v>
      </c>
      <c r="E11" s="8" t="s">
        <v>81</v>
      </c>
      <c r="F11" s="8" t="s">
        <v>150</v>
      </c>
      <c r="G11" s="6" t="s">
        <v>39</v>
      </c>
      <c r="H11" s="6" t="s">
        <v>151</v>
      </c>
      <c r="I11" s="6" t="s">
        <v>41</v>
      </c>
      <c r="J11" s="15" t="s">
        <v>152</v>
      </c>
      <c r="K11" s="15" t="s">
        <v>153</v>
      </c>
      <c r="L11" s="16">
        <v>72.86</v>
      </c>
      <c r="M11" s="16">
        <v>94.94</v>
      </c>
      <c r="N11" s="15">
        <v>1.0</v>
      </c>
      <c r="O11" s="17">
        <f t="shared" si="1"/>
        <v>94.94</v>
      </c>
      <c r="P11" s="15" t="s">
        <v>44</v>
      </c>
      <c r="Q11" s="15" t="s">
        <v>67</v>
      </c>
      <c r="R11" s="15" t="s">
        <v>50</v>
      </c>
      <c r="S11" s="15" t="s">
        <v>156</v>
      </c>
      <c r="T11" s="15" t="s">
        <v>157</v>
      </c>
      <c r="U11" s="16">
        <v>72.86</v>
      </c>
      <c r="V11" s="16">
        <v>79.13</v>
      </c>
      <c r="W11" s="15">
        <v>1.0</v>
      </c>
      <c r="X11" s="17">
        <f t="shared" si="2"/>
        <v>79.13</v>
      </c>
      <c r="Y11" s="15" t="s">
        <v>44</v>
      </c>
      <c r="Z11" s="15" t="s">
        <v>67</v>
      </c>
      <c r="AA11" s="15" t="s">
        <v>50</v>
      </c>
      <c r="AB11" s="15" t="s">
        <v>159</v>
      </c>
      <c r="AC11" s="15" t="s">
        <v>161</v>
      </c>
      <c r="AD11" s="16">
        <v>72.86</v>
      </c>
      <c r="AE11" s="16">
        <v>82.65</v>
      </c>
      <c r="AF11" s="15">
        <v>25.0</v>
      </c>
      <c r="AG11" s="17">
        <f t="shared" si="3"/>
        <v>3.306</v>
      </c>
      <c r="AH11" s="15" t="s">
        <v>44</v>
      </c>
      <c r="AI11" s="15" t="s">
        <v>100</v>
      </c>
      <c r="AJ11" s="15" t="s">
        <v>70</v>
      </c>
      <c r="AK11" s="15" t="s">
        <v>163</v>
      </c>
      <c r="AL11" s="15" t="s">
        <v>165</v>
      </c>
      <c r="AM11" s="16">
        <v>72.86</v>
      </c>
      <c r="AN11" s="16">
        <v>81.43</v>
      </c>
      <c r="AO11" s="15">
        <v>1.0</v>
      </c>
      <c r="AP11" s="17">
        <f t="shared" si="4"/>
        <v>81.43</v>
      </c>
      <c r="AQ11" s="15" t="s">
        <v>44</v>
      </c>
      <c r="AR11" s="15" t="s">
        <v>67</v>
      </c>
      <c r="AS11" s="15" t="s">
        <v>115</v>
      </c>
      <c r="AT11" s="15" t="s">
        <v>57</v>
      </c>
      <c r="AU11" s="15" t="s">
        <v>41</v>
      </c>
    </row>
    <row r="12" ht="30.0" customHeight="1">
      <c r="A12" s="6" t="s">
        <v>168</v>
      </c>
      <c r="B12" s="8" t="s">
        <v>169</v>
      </c>
      <c r="C12" s="8" t="s">
        <v>170</v>
      </c>
      <c r="D12" s="8" t="s">
        <v>105</v>
      </c>
      <c r="E12" s="8" t="s">
        <v>141</v>
      </c>
      <c r="F12" s="8" t="s">
        <v>172</v>
      </c>
      <c r="G12" s="6" t="s">
        <v>39</v>
      </c>
      <c r="H12" s="6" t="s">
        <v>173</v>
      </c>
      <c r="I12" s="6" t="s">
        <v>41</v>
      </c>
      <c r="J12" s="15" t="s">
        <v>175</v>
      </c>
      <c r="K12" s="15" t="s">
        <v>176</v>
      </c>
      <c r="L12" s="16">
        <v>21.42</v>
      </c>
      <c r="M12" s="16">
        <v>22.3</v>
      </c>
      <c r="N12" s="15">
        <v>1.0</v>
      </c>
      <c r="O12" s="17">
        <f t="shared" si="1"/>
        <v>22.3</v>
      </c>
      <c r="P12" s="15" t="s">
        <v>44</v>
      </c>
      <c r="Q12" s="15" t="s">
        <v>76</v>
      </c>
      <c r="R12" s="15" t="s">
        <v>179</v>
      </c>
      <c r="S12" s="15" t="s">
        <v>180</v>
      </c>
      <c r="T12" s="15" t="s">
        <v>181</v>
      </c>
      <c r="U12" s="16">
        <v>21.42</v>
      </c>
      <c r="V12" s="16">
        <v>22.85</v>
      </c>
      <c r="W12" s="15">
        <v>1.0</v>
      </c>
      <c r="X12" s="17">
        <f t="shared" si="2"/>
        <v>22.85</v>
      </c>
      <c r="Y12" s="15" t="s">
        <v>44</v>
      </c>
      <c r="Z12" s="15" t="s">
        <v>89</v>
      </c>
      <c r="AA12" s="15" t="s">
        <v>53</v>
      </c>
      <c r="AB12" s="15" t="s">
        <v>184</v>
      </c>
      <c r="AC12" s="15" t="s">
        <v>185</v>
      </c>
      <c r="AD12" s="16">
        <v>21.42</v>
      </c>
      <c r="AE12" s="16">
        <v>25.98</v>
      </c>
      <c r="AF12" s="15">
        <v>1.0</v>
      </c>
      <c r="AG12" s="17">
        <f t="shared" si="3"/>
        <v>25.98</v>
      </c>
      <c r="AH12" s="15" t="s">
        <v>44</v>
      </c>
      <c r="AI12" s="15" t="s">
        <v>76</v>
      </c>
      <c r="AJ12" s="15" t="s">
        <v>179</v>
      </c>
      <c r="AK12" s="15" t="s">
        <v>186</v>
      </c>
      <c r="AL12" s="15" t="s">
        <v>187</v>
      </c>
      <c r="AM12" s="16">
        <v>21.42</v>
      </c>
      <c r="AN12" s="16">
        <v>22.57</v>
      </c>
      <c r="AO12" s="15">
        <v>1.0</v>
      </c>
      <c r="AP12" s="17">
        <f t="shared" si="4"/>
        <v>22.57</v>
      </c>
      <c r="AQ12" s="15" t="s">
        <v>44</v>
      </c>
      <c r="AR12" s="15" t="s">
        <v>49</v>
      </c>
      <c r="AS12" s="15" t="s">
        <v>179</v>
      </c>
      <c r="AT12" s="15" t="s">
        <v>57</v>
      </c>
      <c r="AU12" s="15" t="s">
        <v>41</v>
      </c>
    </row>
    <row r="13" ht="30.0" customHeight="1">
      <c r="A13" s="6" t="s">
        <v>188</v>
      </c>
      <c r="B13" s="8" t="s">
        <v>189</v>
      </c>
      <c r="C13" s="8" t="s">
        <v>190</v>
      </c>
      <c r="D13" s="8" t="s">
        <v>191</v>
      </c>
      <c r="E13" s="8" t="s">
        <v>62</v>
      </c>
      <c r="F13" s="8" t="s">
        <v>63</v>
      </c>
      <c r="G13" s="6" t="s">
        <v>44</v>
      </c>
      <c r="H13" s="6" t="s">
        <v>192</v>
      </c>
      <c r="I13" s="6" t="s">
        <v>106</v>
      </c>
      <c r="J13" s="15" t="s">
        <v>193</v>
      </c>
      <c r="K13" s="15" t="s">
        <v>194</v>
      </c>
      <c r="L13" s="16">
        <v>13.9</v>
      </c>
      <c r="M13" s="16">
        <v>14.23</v>
      </c>
      <c r="N13" s="15">
        <v>1.0</v>
      </c>
      <c r="O13" s="17">
        <f t="shared" si="1"/>
        <v>14.23</v>
      </c>
      <c r="P13" s="15" t="s">
        <v>39</v>
      </c>
      <c r="Q13" s="15" t="s">
        <v>109</v>
      </c>
      <c r="R13" s="15" t="s">
        <v>70</v>
      </c>
      <c r="S13" s="15" t="s">
        <v>195</v>
      </c>
      <c r="T13" s="15" t="s">
        <v>196</v>
      </c>
      <c r="U13" s="16">
        <v>13.9</v>
      </c>
      <c r="V13" s="16">
        <v>13.64</v>
      </c>
      <c r="W13" s="15">
        <v>1.0</v>
      </c>
      <c r="X13" s="17">
        <f t="shared" si="2"/>
        <v>13.64</v>
      </c>
      <c r="Y13" s="15" t="s">
        <v>44</v>
      </c>
      <c r="Z13" s="15" t="s">
        <v>89</v>
      </c>
      <c r="AA13" s="15" t="s">
        <v>53</v>
      </c>
      <c r="AB13" s="15" t="s">
        <v>197</v>
      </c>
      <c r="AC13" s="15" t="s">
        <v>198</v>
      </c>
      <c r="AD13" s="16">
        <v>13.9</v>
      </c>
      <c r="AE13" s="16">
        <v>17.9</v>
      </c>
      <c r="AF13" s="15">
        <v>100.0</v>
      </c>
      <c r="AG13" s="17">
        <f t="shared" si="3"/>
        <v>0.179</v>
      </c>
      <c r="AH13" s="15" t="s">
        <v>44</v>
      </c>
      <c r="AI13" s="15" t="s">
        <v>49</v>
      </c>
      <c r="AJ13" s="15" t="s">
        <v>50</v>
      </c>
      <c r="AK13" s="15" t="s">
        <v>199</v>
      </c>
      <c r="AL13" s="15" t="s">
        <v>200</v>
      </c>
      <c r="AM13" s="16">
        <v>13.9</v>
      </c>
      <c r="AN13" s="16">
        <v>16.21</v>
      </c>
      <c r="AO13" s="15">
        <v>1.0</v>
      </c>
      <c r="AP13" s="17">
        <f t="shared" si="4"/>
        <v>16.21</v>
      </c>
      <c r="AQ13" s="15" t="s">
        <v>39</v>
      </c>
      <c r="AR13" s="15" t="s">
        <v>45</v>
      </c>
      <c r="AS13" s="15" t="s">
        <v>115</v>
      </c>
      <c r="AT13" s="15" t="s">
        <v>57</v>
      </c>
      <c r="AU13" s="15" t="s">
        <v>106</v>
      </c>
    </row>
    <row r="14" ht="30.0" customHeight="1">
      <c r="A14" s="6" t="s">
        <v>201</v>
      </c>
      <c r="B14" s="8" t="s">
        <v>202</v>
      </c>
      <c r="C14" s="8" t="s">
        <v>203</v>
      </c>
      <c r="D14" s="8" t="s">
        <v>105</v>
      </c>
      <c r="E14" s="8" t="s">
        <v>162</v>
      </c>
      <c r="F14" s="8" t="s">
        <v>204</v>
      </c>
      <c r="G14" s="6" t="s">
        <v>44</v>
      </c>
      <c r="H14" s="6" t="s">
        <v>205</v>
      </c>
      <c r="I14" s="6" t="s">
        <v>106</v>
      </c>
      <c r="J14" s="15" t="s">
        <v>206</v>
      </c>
      <c r="K14" s="15" t="s">
        <v>207</v>
      </c>
      <c r="L14" s="16">
        <v>50.77</v>
      </c>
      <c r="M14" s="16">
        <v>54.96</v>
      </c>
      <c r="N14" s="15">
        <v>50.0</v>
      </c>
      <c r="O14" s="17">
        <f t="shared" si="1"/>
        <v>1.0992</v>
      </c>
      <c r="P14" s="15" t="s">
        <v>44</v>
      </c>
      <c r="Q14" s="15" t="s">
        <v>89</v>
      </c>
      <c r="R14" s="15" t="s">
        <v>46</v>
      </c>
      <c r="S14" s="15" t="s">
        <v>208</v>
      </c>
      <c r="T14" s="15" t="s">
        <v>209</v>
      </c>
      <c r="U14" s="16">
        <v>50.77</v>
      </c>
      <c r="V14" s="16">
        <v>52.03</v>
      </c>
      <c r="W14" s="15">
        <v>12.0</v>
      </c>
      <c r="X14" s="17">
        <f t="shared" si="2"/>
        <v>4.335833333</v>
      </c>
      <c r="Y14" s="15" t="s">
        <v>44</v>
      </c>
      <c r="Z14" s="15" t="s">
        <v>89</v>
      </c>
      <c r="AA14" s="15" t="s">
        <v>135</v>
      </c>
      <c r="AB14" s="15" t="s">
        <v>210</v>
      </c>
      <c r="AC14" s="15" t="s">
        <v>211</v>
      </c>
      <c r="AD14" s="16">
        <v>50.77</v>
      </c>
      <c r="AE14" s="16">
        <v>58.86</v>
      </c>
      <c r="AF14" s="15">
        <v>12.0</v>
      </c>
      <c r="AG14" s="17">
        <f t="shared" si="3"/>
        <v>4.905</v>
      </c>
      <c r="AH14" s="15" t="s">
        <v>44</v>
      </c>
      <c r="AI14" s="15" t="s">
        <v>49</v>
      </c>
      <c r="AJ14" s="15" t="s">
        <v>115</v>
      </c>
      <c r="AK14" s="15" t="s">
        <v>212</v>
      </c>
      <c r="AL14" s="15" t="s">
        <v>213</v>
      </c>
      <c r="AM14" s="16">
        <v>50.77</v>
      </c>
      <c r="AN14" s="16">
        <v>64.7</v>
      </c>
      <c r="AO14" s="15">
        <v>1.0</v>
      </c>
      <c r="AP14" s="17">
        <f t="shared" si="4"/>
        <v>64.7</v>
      </c>
      <c r="AQ14" s="15" t="s">
        <v>44</v>
      </c>
      <c r="AR14" s="15" t="s">
        <v>89</v>
      </c>
      <c r="AS14" s="15" t="s">
        <v>50</v>
      </c>
      <c r="AT14" s="15" t="s">
        <v>155</v>
      </c>
      <c r="AU14" s="15" t="s">
        <v>106</v>
      </c>
    </row>
    <row r="15" ht="30.0" customHeight="1">
      <c r="A15" s="6" t="s">
        <v>214</v>
      </c>
      <c r="B15" s="8" t="s">
        <v>215</v>
      </c>
      <c r="C15" s="8" t="s">
        <v>216</v>
      </c>
      <c r="D15" s="8" t="s">
        <v>217</v>
      </c>
      <c r="E15" s="8" t="s">
        <v>37</v>
      </c>
      <c r="F15" s="8" t="s">
        <v>218</v>
      </c>
      <c r="G15" s="6" t="s">
        <v>39</v>
      </c>
      <c r="H15" s="6" t="s">
        <v>219</v>
      </c>
      <c r="I15" s="6" t="s">
        <v>41</v>
      </c>
      <c r="J15" s="15" t="s">
        <v>220</v>
      </c>
      <c r="K15" s="15" t="s">
        <v>221</v>
      </c>
      <c r="L15" s="16">
        <v>66.2</v>
      </c>
      <c r="M15" s="16">
        <v>75.64</v>
      </c>
      <c r="N15" s="15">
        <v>50.0</v>
      </c>
      <c r="O15" s="17">
        <f t="shared" si="1"/>
        <v>1.5128</v>
      </c>
      <c r="P15" s="15" t="s">
        <v>44</v>
      </c>
      <c r="Q15" s="15" t="s">
        <v>49</v>
      </c>
      <c r="R15" s="15" t="s">
        <v>46</v>
      </c>
      <c r="S15" s="15" t="s">
        <v>222</v>
      </c>
      <c r="T15" s="15" t="s">
        <v>223</v>
      </c>
      <c r="U15" s="16">
        <v>66.2</v>
      </c>
      <c r="V15" s="16">
        <v>74.33</v>
      </c>
      <c r="W15" s="15">
        <v>1.0</v>
      </c>
      <c r="X15" s="17">
        <f t="shared" si="2"/>
        <v>74.33</v>
      </c>
      <c r="Y15" s="15" t="s">
        <v>39</v>
      </c>
      <c r="Z15" s="15" t="s">
        <v>45</v>
      </c>
      <c r="AA15" s="15" t="s">
        <v>56</v>
      </c>
      <c r="AB15" s="15" t="s">
        <v>224</v>
      </c>
      <c r="AC15" s="15" t="s">
        <v>225</v>
      </c>
      <c r="AD15" s="16">
        <v>66.2</v>
      </c>
      <c r="AE15" s="16">
        <v>72.87</v>
      </c>
      <c r="AF15" s="15">
        <v>1.0</v>
      </c>
      <c r="AG15" s="17">
        <f t="shared" si="3"/>
        <v>72.87</v>
      </c>
      <c r="AH15" s="15" t="s">
        <v>44</v>
      </c>
      <c r="AI15" s="15" t="s">
        <v>45</v>
      </c>
      <c r="AJ15" s="15" t="s">
        <v>135</v>
      </c>
      <c r="AK15" s="15" t="s">
        <v>226</v>
      </c>
      <c r="AL15" s="15" t="s">
        <v>227</v>
      </c>
      <c r="AM15" s="16">
        <v>66.2</v>
      </c>
      <c r="AN15" s="16">
        <v>90.86</v>
      </c>
      <c r="AO15" s="15">
        <v>50.0</v>
      </c>
      <c r="AP15" s="17">
        <f t="shared" si="4"/>
        <v>1.8172</v>
      </c>
      <c r="AQ15" s="15" t="s">
        <v>44</v>
      </c>
      <c r="AR15" s="15" t="s">
        <v>67</v>
      </c>
      <c r="AS15" s="15" t="s">
        <v>53</v>
      </c>
      <c r="AT15" s="15" t="s">
        <v>57</v>
      </c>
      <c r="AU15" s="15" t="s">
        <v>41</v>
      </c>
    </row>
    <row r="16" ht="30.0" customHeight="1">
      <c r="A16" s="6" t="s">
        <v>228</v>
      </c>
      <c r="B16" s="8" t="s">
        <v>229</v>
      </c>
      <c r="C16" s="8" t="s">
        <v>230</v>
      </c>
      <c r="D16" s="8" t="s">
        <v>191</v>
      </c>
      <c r="E16" s="8" t="s">
        <v>141</v>
      </c>
      <c r="F16" s="8" t="s">
        <v>231</v>
      </c>
      <c r="G16" s="6" t="s">
        <v>39</v>
      </c>
      <c r="H16" s="6" t="s">
        <v>205</v>
      </c>
      <c r="I16" s="6" t="s">
        <v>106</v>
      </c>
      <c r="J16" s="15" t="s">
        <v>232</v>
      </c>
      <c r="K16" s="15" t="s">
        <v>233</v>
      </c>
      <c r="L16" s="16">
        <v>5.04</v>
      </c>
      <c r="M16" s="16">
        <v>6.95</v>
      </c>
      <c r="N16" s="15">
        <v>1.0</v>
      </c>
      <c r="O16" s="17">
        <f t="shared" si="1"/>
        <v>6.95</v>
      </c>
      <c r="P16" s="15" t="s">
        <v>44</v>
      </c>
      <c r="Q16" s="15" t="s">
        <v>45</v>
      </c>
      <c r="R16" s="15" t="s">
        <v>56</v>
      </c>
      <c r="S16" s="15" t="s">
        <v>234</v>
      </c>
      <c r="T16" s="15" t="s">
        <v>235</v>
      </c>
      <c r="U16" s="16">
        <v>5.04</v>
      </c>
      <c r="V16" s="16">
        <v>5.29</v>
      </c>
      <c r="W16" s="15">
        <v>10.0</v>
      </c>
      <c r="X16" s="17">
        <f t="shared" si="2"/>
        <v>0.529</v>
      </c>
      <c r="Y16" s="15" t="s">
        <v>39</v>
      </c>
      <c r="Z16" s="15" t="s">
        <v>109</v>
      </c>
      <c r="AA16" s="15" t="s">
        <v>73</v>
      </c>
      <c r="AB16" s="15" t="s">
        <v>236</v>
      </c>
      <c r="AC16" s="15" t="s">
        <v>237</v>
      </c>
      <c r="AD16" s="16">
        <v>5.04</v>
      </c>
      <c r="AE16" s="16">
        <v>6.65</v>
      </c>
      <c r="AF16" s="15">
        <v>1.0</v>
      </c>
      <c r="AG16" s="17">
        <f t="shared" si="3"/>
        <v>6.65</v>
      </c>
      <c r="AH16" s="15" t="s">
        <v>44</v>
      </c>
      <c r="AI16" s="15" t="s">
        <v>49</v>
      </c>
      <c r="AJ16" s="15" t="s">
        <v>46</v>
      </c>
      <c r="AK16" s="15" t="s">
        <v>238</v>
      </c>
      <c r="AL16" s="15" t="s">
        <v>239</v>
      </c>
      <c r="AM16" s="16">
        <v>5.04</v>
      </c>
      <c r="AN16" s="16">
        <v>6.84</v>
      </c>
      <c r="AO16" s="15">
        <v>12.0</v>
      </c>
      <c r="AP16" s="17">
        <f t="shared" si="4"/>
        <v>0.57</v>
      </c>
      <c r="AQ16" s="15" t="s">
        <v>44</v>
      </c>
      <c r="AR16" s="15" t="s">
        <v>67</v>
      </c>
      <c r="AS16" s="15" t="s">
        <v>135</v>
      </c>
      <c r="AT16" s="15" t="s">
        <v>57</v>
      </c>
      <c r="AU16" s="15" t="s">
        <v>106</v>
      </c>
    </row>
    <row r="17" ht="30.0" customHeight="1">
      <c r="A17" s="6" t="s">
        <v>240</v>
      </c>
      <c r="B17" s="8" t="s">
        <v>241</v>
      </c>
      <c r="C17" s="8" t="s">
        <v>124</v>
      </c>
      <c r="D17" s="8" t="s">
        <v>242</v>
      </c>
      <c r="E17" s="8" t="s">
        <v>154</v>
      </c>
      <c r="F17" s="8" t="s">
        <v>243</v>
      </c>
      <c r="G17" s="6" t="s">
        <v>44</v>
      </c>
      <c r="H17" s="6" t="s">
        <v>219</v>
      </c>
      <c r="I17" s="6" t="s">
        <v>106</v>
      </c>
      <c r="J17" s="15" t="s">
        <v>244</v>
      </c>
      <c r="K17" s="15" t="s">
        <v>245</v>
      </c>
      <c r="L17" s="16">
        <v>49.76</v>
      </c>
      <c r="M17" s="16">
        <v>56.88</v>
      </c>
      <c r="N17" s="15">
        <v>1.0</v>
      </c>
      <c r="O17" s="17">
        <f t="shared" si="1"/>
        <v>56.88</v>
      </c>
      <c r="P17" s="15" t="s">
        <v>44</v>
      </c>
      <c r="Q17" s="15" t="s">
        <v>45</v>
      </c>
      <c r="R17" s="15" t="s">
        <v>46</v>
      </c>
      <c r="S17" s="15" t="s">
        <v>246</v>
      </c>
      <c r="T17" s="15" t="s">
        <v>247</v>
      </c>
      <c r="U17" s="16">
        <v>49.76</v>
      </c>
      <c r="V17" s="16">
        <v>57.19</v>
      </c>
      <c r="W17" s="15">
        <v>1.0</v>
      </c>
      <c r="X17" s="17">
        <f t="shared" si="2"/>
        <v>57.19</v>
      </c>
      <c r="Y17" s="15" t="s">
        <v>44</v>
      </c>
      <c r="Z17" s="15" t="s">
        <v>89</v>
      </c>
      <c r="AA17" s="15" t="s">
        <v>70</v>
      </c>
      <c r="AB17" s="15" t="s">
        <v>248</v>
      </c>
      <c r="AC17" s="15" t="s">
        <v>249</v>
      </c>
      <c r="AD17" s="16">
        <v>49.76</v>
      </c>
      <c r="AE17" s="16">
        <v>56.1</v>
      </c>
      <c r="AF17" s="15">
        <v>1.0</v>
      </c>
      <c r="AG17" s="17">
        <f t="shared" si="3"/>
        <v>56.1</v>
      </c>
      <c r="AH17" s="15" t="s">
        <v>44</v>
      </c>
      <c r="AI17" s="15" t="s">
        <v>67</v>
      </c>
      <c r="AJ17" s="15" t="s">
        <v>179</v>
      </c>
      <c r="AK17" s="15" t="s">
        <v>250</v>
      </c>
      <c r="AL17" s="15" t="s">
        <v>251</v>
      </c>
      <c r="AM17" s="16">
        <v>49.76</v>
      </c>
      <c r="AN17" s="16">
        <v>56.55</v>
      </c>
      <c r="AO17" s="15">
        <v>1.0</v>
      </c>
      <c r="AP17" s="17">
        <f t="shared" si="4"/>
        <v>56.55</v>
      </c>
      <c r="AQ17" s="15" t="s">
        <v>44</v>
      </c>
      <c r="AR17" s="15" t="s">
        <v>49</v>
      </c>
      <c r="AS17" s="15" t="s">
        <v>179</v>
      </c>
      <c r="AT17" s="15" t="s">
        <v>57</v>
      </c>
      <c r="AU17" s="15" t="s">
        <v>106</v>
      </c>
    </row>
    <row r="18" ht="30.0" customHeight="1">
      <c r="A18" s="6" t="s">
        <v>252</v>
      </c>
      <c r="B18" s="8" t="s">
        <v>253</v>
      </c>
      <c r="C18" s="8" t="s">
        <v>254</v>
      </c>
      <c r="D18" s="8" t="s">
        <v>242</v>
      </c>
      <c r="E18" s="8" t="s">
        <v>141</v>
      </c>
      <c r="F18" s="8" t="s">
        <v>255</v>
      </c>
      <c r="G18" s="6" t="s">
        <v>39</v>
      </c>
      <c r="H18" s="6" t="s">
        <v>64</v>
      </c>
      <c r="I18" s="6" t="s">
        <v>106</v>
      </c>
      <c r="J18" s="15" t="s">
        <v>256</v>
      </c>
      <c r="K18" s="15" t="s">
        <v>257</v>
      </c>
      <c r="L18" s="16">
        <v>83.11</v>
      </c>
      <c r="M18" s="16">
        <v>83.14</v>
      </c>
      <c r="N18" s="15">
        <v>12.0</v>
      </c>
      <c r="O18" s="17">
        <f t="shared" si="1"/>
        <v>6.928333333</v>
      </c>
      <c r="P18" s="15" t="s">
        <v>44</v>
      </c>
      <c r="Q18" s="15" t="s">
        <v>45</v>
      </c>
      <c r="R18" s="15" t="s">
        <v>56</v>
      </c>
      <c r="S18" s="15" t="s">
        <v>258</v>
      </c>
      <c r="T18" s="15" t="s">
        <v>259</v>
      </c>
      <c r="U18" s="16">
        <v>83.11</v>
      </c>
      <c r="V18" s="16">
        <v>84.37</v>
      </c>
      <c r="W18" s="15">
        <v>12.0</v>
      </c>
      <c r="X18" s="17">
        <f t="shared" si="2"/>
        <v>7.030833333</v>
      </c>
      <c r="Y18" s="15" t="s">
        <v>44</v>
      </c>
      <c r="Z18" s="15" t="s">
        <v>49</v>
      </c>
      <c r="AA18" s="15" t="s">
        <v>94</v>
      </c>
      <c r="AB18" s="15" t="s">
        <v>260</v>
      </c>
      <c r="AC18" s="15" t="s">
        <v>261</v>
      </c>
      <c r="AD18" s="16">
        <v>83.11</v>
      </c>
      <c r="AE18" s="16">
        <v>98.39</v>
      </c>
      <c r="AF18" s="15">
        <v>12.0</v>
      </c>
      <c r="AG18" s="17">
        <f t="shared" si="3"/>
        <v>8.199166667</v>
      </c>
      <c r="AH18" s="15" t="s">
        <v>44</v>
      </c>
      <c r="AI18" s="15" t="s">
        <v>45</v>
      </c>
      <c r="AJ18" s="15" t="s">
        <v>179</v>
      </c>
      <c r="AK18" s="15" t="s">
        <v>262</v>
      </c>
      <c r="AL18" s="15" t="s">
        <v>263</v>
      </c>
      <c r="AM18" s="16">
        <v>83.11</v>
      </c>
      <c r="AN18" s="16">
        <v>97.82</v>
      </c>
      <c r="AO18" s="15">
        <v>12.0</v>
      </c>
      <c r="AP18" s="17">
        <f t="shared" si="4"/>
        <v>8.151666667</v>
      </c>
      <c r="AQ18" s="15" t="s">
        <v>44</v>
      </c>
      <c r="AR18" s="15" t="s">
        <v>49</v>
      </c>
      <c r="AS18" s="15" t="s">
        <v>73</v>
      </c>
      <c r="AT18" s="15" t="s">
        <v>57</v>
      </c>
      <c r="AU18" s="15" t="s">
        <v>106</v>
      </c>
    </row>
    <row r="19" ht="30.0" customHeight="1">
      <c r="A19" s="6" t="s">
        <v>264</v>
      </c>
      <c r="B19" s="8" t="s">
        <v>265</v>
      </c>
      <c r="C19" s="8" t="s">
        <v>266</v>
      </c>
      <c r="D19" s="8" t="s">
        <v>36</v>
      </c>
      <c r="E19" s="8" t="s">
        <v>37</v>
      </c>
      <c r="F19" s="8" t="s">
        <v>38</v>
      </c>
      <c r="G19" s="6" t="s">
        <v>44</v>
      </c>
      <c r="H19" s="6" t="s">
        <v>129</v>
      </c>
      <c r="I19" s="6" t="s">
        <v>106</v>
      </c>
      <c r="J19" s="15" t="s">
        <v>267</v>
      </c>
      <c r="K19" s="15" t="s">
        <v>268</v>
      </c>
      <c r="L19" s="16">
        <v>18.01</v>
      </c>
      <c r="M19" s="16">
        <v>21.27</v>
      </c>
      <c r="N19" s="15">
        <v>50.0</v>
      </c>
      <c r="O19" s="17">
        <f t="shared" si="1"/>
        <v>0.4254</v>
      </c>
      <c r="P19" s="15" t="s">
        <v>39</v>
      </c>
      <c r="Q19" s="15" t="s">
        <v>49</v>
      </c>
      <c r="R19" s="15" t="s">
        <v>179</v>
      </c>
      <c r="S19" s="15" t="s">
        <v>269</v>
      </c>
      <c r="T19" s="15" t="s">
        <v>270</v>
      </c>
      <c r="U19" s="16">
        <v>18.01</v>
      </c>
      <c r="V19" s="16">
        <v>24.05</v>
      </c>
      <c r="W19" s="15">
        <v>50.0</v>
      </c>
      <c r="X19" s="17">
        <f t="shared" si="2"/>
        <v>0.481</v>
      </c>
      <c r="Y19" s="15" t="s">
        <v>39</v>
      </c>
      <c r="Z19" s="15" t="s">
        <v>67</v>
      </c>
      <c r="AA19" s="15" t="s">
        <v>135</v>
      </c>
      <c r="AB19" s="15" t="s">
        <v>271</v>
      </c>
      <c r="AC19" s="15" t="s">
        <v>272</v>
      </c>
      <c r="AD19" s="16">
        <v>18.01</v>
      </c>
      <c r="AE19" s="16">
        <v>22.87</v>
      </c>
      <c r="AF19" s="15">
        <v>50.0</v>
      </c>
      <c r="AG19" s="17">
        <f t="shared" si="3"/>
        <v>0.4574</v>
      </c>
      <c r="AH19" s="15" t="s">
        <v>39</v>
      </c>
      <c r="AI19" s="15" t="s">
        <v>49</v>
      </c>
      <c r="AJ19" s="15" t="s">
        <v>73</v>
      </c>
      <c r="AK19" s="15" t="s">
        <v>273</v>
      </c>
      <c r="AL19" s="15" t="s">
        <v>274</v>
      </c>
      <c r="AM19" s="16">
        <v>18.01</v>
      </c>
      <c r="AN19" s="16">
        <v>17.85</v>
      </c>
      <c r="AO19" s="15">
        <v>50.0</v>
      </c>
      <c r="AP19" s="17">
        <f t="shared" si="4"/>
        <v>0.357</v>
      </c>
      <c r="AQ19" s="15" t="s">
        <v>44</v>
      </c>
      <c r="AR19" s="15" t="s">
        <v>45</v>
      </c>
      <c r="AS19" s="15" t="s">
        <v>94</v>
      </c>
      <c r="AT19" s="15" t="s">
        <v>120</v>
      </c>
      <c r="AU19" s="15" t="s">
        <v>106</v>
      </c>
    </row>
    <row r="20" ht="30.0" customHeight="1">
      <c r="A20" s="6" t="s">
        <v>275</v>
      </c>
      <c r="B20" s="8" t="s">
        <v>276</v>
      </c>
      <c r="C20" s="8" t="s">
        <v>277</v>
      </c>
      <c r="D20" s="8" t="s">
        <v>278</v>
      </c>
      <c r="E20" s="8" t="s">
        <v>177</v>
      </c>
      <c r="F20" s="8" t="s">
        <v>279</v>
      </c>
      <c r="G20" s="6" t="s">
        <v>44</v>
      </c>
      <c r="H20" s="6" t="s">
        <v>280</v>
      </c>
      <c r="I20" s="6" t="s">
        <v>106</v>
      </c>
      <c r="J20" s="15" t="s">
        <v>281</v>
      </c>
      <c r="K20" s="15" t="s">
        <v>282</v>
      </c>
      <c r="L20" s="16">
        <v>81.65</v>
      </c>
      <c r="M20" s="16">
        <v>82.95</v>
      </c>
      <c r="N20" s="15">
        <v>10.0</v>
      </c>
      <c r="O20" s="17">
        <f t="shared" si="1"/>
        <v>8.295</v>
      </c>
      <c r="P20" s="15" t="s">
        <v>44</v>
      </c>
      <c r="Q20" s="15" t="s">
        <v>67</v>
      </c>
      <c r="R20" s="15" t="s">
        <v>50</v>
      </c>
      <c r="S20" s="15" t="s">
        <v>283</v>
      </c>
      <c r="T20" s="15" t="s">
        <v>284</v>
      </c>
      <c r="U20" s="16">
        <v>81.65</v>
      </c>
      <c r="V20" s="16">
        <v>104.3</v>
      </c>
      <c r="W20" s="15">
        <v>10.0</v>
      </c>
      <c r="X20" s="17">
        <f t="shared" si="2"/>
        <v>10.43</v>
      </c>
      <c r="Y20" s="15" t="s">
        <v>39</v>
      </c>
      <c r="Z20" s="15" t="s">
        <v>89</v>
      </c>
      <c r="AA20" s="15" t="s">
        <v>70</v>
      </c>
      <c r="AB20" s="15" t="s">
        <v>285</v>
      </c>
      <c r="AC20" s="15" t="s">
        <v>286</v>
      </c>
      <c r="AD20" s="16">
        <v>81.65</v>
      </c>
      <c r="AE20" s="16">
        <v>88.51</v>
      </c>
      <c r="AF20" s="15">
        <v>100.0</v>
      </c>
      <c r="AG20" s="17">
        <f t="shared" si="3"/>
        <v>0.8851</v>
      </c>
      <c r="AH20" s="15" t="s">
        <v>39</v>
      </c>
      <c r="AI20" s="15" t="s">
        <v>89</v>
      </c>
      <c r="AJ20" s="15" t="s">
        <v>135</v>
      </c>
      <c r="AK20" s="15" t="s">
        <v>287</v>
      </c>
      <c r="AL20" s="15" t="s">
        <v>288</v>
      </c>
      <c r="AM20" s="16">
        <v>81.65</v>
      </c>
      <c r="AN20" s="16">
        <v>80.82</v>
      </c>
      <c r="AO20" s="15">
        <v>10.0</v>
      </c>
      <c r="AP20" s="17">
        <f t="shared" si="4"/>
        <v>8.082</v>
      </c>
      <c r="AQ20" s="15" t="s">
        <v>44</v>
      </c>
      <c r="AR20" s="15" t="s">
        <v>89</v>
      </c>
      <c r="AS20" s="15" t="s">
        <v>56</v>
      </c>
      <c r="AT20" s="15" t="s">
        <v>57</v>
      </c>
      <c r="AU20" s="15" t="s">
        <v>106</v>
      </c>
    </row>
    <row r="21" ht="30.0" customHeight="1">
      <c r="A21" s="6" t="s">
        <v>289</v>
      </c>
      <c r="B21" s="8" t="s">
        <v>290</v>
      </c>
      <c r="C21" s="8" t="s">
        <v>291</v>
      </c>
      <c r="D21" s="8" t="s">
        <v>217</v>
      </c>
      <c r="E21" s="8" t="s">
        <v>141</v>
      </c>
      <c r="F21" s="8" t="s">
        <v>255</v>
      </c>
      <c r="G21" s="6" t="s">
        <v>39</v>
      </c>
      <c r="H21" s="6" t="s">
        <v>292</v>
      </c>
      <c r="I21" s="6" t="s">
        <v>41</v>
      </c>
      <c r="J21" s="15" t="s">
        <v>293</v>
      </c>
      <c r="K21" s="15" t="s">
        <v>294</v>
      </c>
      <c r="L21" s="16">
        <v>25.51</v>
      </c>
      <c r="M21" s="16">
        <v>27.94</v>
      </c>
      <c r="N21" s="15">
        <v>1.0</v>
      </c>
      <c r="O21" s="17">
        <f t="shared" si="1"/>
        <v>27.94</v>
      </c>
      <c r="P21" s="15" t="s">
        <v>44</v>
      </c>
      <c r="Q21" s="15" t="s">
        <v>45</v>
      </c>
      <c r="R21" s="15" t="s">
        <v>53</v>
      </c>
      <c r="S21" s="15" t="s">
        <v>295</v>
      </c>
      <c r="T21" s="15" t="s">
        <v>296</v>
      </c>
      <c r="U21" s="16">
        <v>25.51</v>
      </c>
      <c r="V21" s="16">
        <v>32.51</v>
      </c>
      <c r="W21" s="15">
        <v>1.0</v>
      </c>
      <c r="X21" s="17">
        <f t="shared" si="2"/>
        <v>32.51</v>
      </c>
      <c r="Y21" s="15" t="s">
        <v>39</v>
      </c>
      <c r="Z21" s="15" t="s">
        <v>45</v>
      </c>
      <c r="AA21" s="15" t="s">
        <v>179</v>
      </c>
      <c r="AB21" s="15" t="s">
        <v>297</v>
      </c>
      <c r="AC21" s="15" t="s">
        <v>298</v>
      </c>
      <c r="AD21" s="16">
        <v>25.51</v>
      </c>
      <c r="AE21" s="16">
        <v>26.96</v>
      </c>
      <c r="AF21" s="15">
        <v>1.0</v>
      </c>
      <c r="AG21" s="17">
        <f t="shared" si="3"/>
        <v>26.96</v>
      </c>
      <c r="AH21" s="15" t="s">
        <v>39</v>
      </c>
      <c r="AI21" s="15" t="s">
        <v>89</v>
      </c>
      <c r="AJ21" s="15" t="s">
        <v>73</v>
      </c>
      <c r="AK21" s="15" t="s">
        <v>299</v>
      </c>
      <c r="AL21" s="15" t="s">
        <v>300</v>
      </c>
      <c r="AM21" s="16">
        <v>25.51</v>
      </c>
      <c r="AN21" s="16">
        <v>34.22</v>
      </c>
      <c r="AO21" s="15">
        <v>50.0</v>
      </c>
      <c r="AP21" s="17">
        <f t="shared" si="4"/>
        <v>0.6844</v>
      </c>
      <c r="AQ21" s="15" t="s">
        <v>44</v>
      </c>
      <c r="AR21" s="15" t="s">
        <v>67</v>
      </c>
      <c r="AS21" s="15" t="s">
        <v>115</v>
      </c>
      <c r="AT21" s="15" t="s">
        <v>57</v>
      </c>
      <c r="AU21" s="15" t="s">
        <v>41</v>
      </c>
    </row>
    <row r="22" ht="30.0" customHeight="1">
      <c r="A22" s="6" t="s">
        <v>301</v>
      </c>
      <c r="B22" s="8" t="s">
        <v>302</v>
      </c>
      <c r="C22" s="8" t="s">
        <v>303</v>
      </c>
      <c r="D22" s="8" t="s">
        <v>217</v>
      </c>
      <c r="E22" s="8" t="s">
        <v>166</v>
      </c>
      <c r="F22" s="8" t="s">
        <v>304</v>
      </c>
      <c r="G22" s="6" t="s">
        <v>39</v>
      </c>
      <c r="H22" s="6" t="s">
        <v>305</v>
      </c>
      <c r="I22" s="6" t="s">
        <v>41</v>
      </c>
      <c r="J22" s="15" t="s">
        <v>306</v>
      </c>
      <c r="K22" s="15" t="s">
        <v>307</v>
      </c>
      <c r="L22" s="16">
        <v>25.68</v>
      </c>
      <c r="M22" s="16">
        <v>28.31</v>
      </c>
      <c r="N22" s="15">
        <v>1.0</v>
      </c>
      <c r="O22" s="17">
        <f t="shared" si="1"/>
        <v>28.31</v>
      </c>
      <c r="P22" s="15" t="s">
        <v>39</v>
      </c>
      <c r="Q22" s="15" t="s">
        <v>76</v>
      </c>
      <c r="R22" s="15" t="s">
        <v>135</v>
      </c>
      <c r="S22" s="15" t="s">
        <v>308</v>
      </c>
      <c r="T22" s="15" t="s">
        <v>309</v>
      </c>
      <c r="U22" s="16">
        <v>25.68</v>
      </c>
      <c r="V22" s="16">
        <v>30.07</v>
      </c>
      <c r="W22" s="15">
        <v>1.0</v>
      </c>
      <c r="X22" s="17">
        <f t="shared" si="2"/>
        <v>30.07</v>
      </c>
      <c r="Y22" s="15" t="s">
        <v>44</v>
      </c>
      <c r="Z22" s="15" t="s">
        <v>89</v>
      </c>
      <c r="AA22" s="15" t="s">
        <v>179</v>
      </c>
      <c r="AB22" s="15" t="s">
        <v>310</v>
      </c>
      <c r="AC22" s="15" t="s">
        <v>311</v>
      </c>
      <c r="AD22" s="16">
        <v>25.68</v>
      </c>
      <c r="AE22" s="16">
        <v>30.96</v>
      </c>
      <c r="AF22" s="15">
        <v>1.0</v>
      </c>
      <c r="AG22" s="17">
        <f t="shared" si="3"/>
        <v>30.96</v>
      </c>
      <c r="AH22" s="15" t="s">
        <v>44</v>
      </c>
      <c r="AI22" s="15" t="s">
        <v>76</v>
      </c>
      <c r="AJ22" s="15" t="s">
        <v>94</v>
      </c>
      <c r="AK22" s="15" t="s">
        <v>312</v>
      </c>
      <c r="AL22" s="15" t="s">
        <v>313</v>
      </c>
      <c r="AM22" s="16">
        <v>25.68</v>
      </c>
      <c r="AN22" s="16">
        <v>34.31</v>
      </c>
      <c r="AO22" s="15">
        <v>100.0</v>
      </c>
      <c r="AP22" s="17">
        <f t="shared" si="4"/>
        <v>0.3431</v>
      </c>
      <c r="AQ22" s="15" t="s">
        <v>44</v>
      </c>
      <c r="AR22" s="15" t="s">
        <v>76</v>
      </c>
      <c r="AS22" s="15" t="s">
        <v>70</v>
      </c>
      <c r="AT22" s="15" t="s">
        <v>57</v>
      </c>
      <c r="AU22" s="15" t="s">
        <v>41</v>
      </c>
    </row>
    <row r="23" ht="30.0" customHeight="1">
      <c r="A23" s="6" t="s">
        <v>314</v>
      </c>
      <c r="B23" s="8" t="s">
        <v>315</v>
      </c>
      <c r="C23" s="8" t="s">
        <v>316</v>
      </c>
      <c r="D23" s="8" t="s">
        <v>317</v>
      </c>
      <c r="E23" s="8" t="s">
        <v>141</v>
      </c>
      <c r="F23" s="8" t="s">
        <v>172</v>
      </c>
      <c r="G23" s="6" t="s">
        <v>44</v>
      </c>
      <c r="H23" s="6" t="s">
        <v>318</v>
      </c>
      <c r="I23" s="6" t="s">
        <v>106</v>
      </c>
      <c r="J23" s="15" t="s">
        <v>319</v>
      </c>
      <c r="K23" s="15" t="s">
        <v>320</v>
      </c>
      <c r="L23" s="16">
        <v>72.93</v>
      </c>
      <c r="M23" s="16">
        <v>89.59</v>
      </c>
      <c r="N23" s="15">
        <v>1.0</v>
      </c>
      <c r="O23" s="17">
        <f t="shared" si="1"/>
        <v>89.59</v>
      </c>
      <c r="P23" s="15" t="s">
        <v>44</v>
      </c>
      <c r="Q23" s="15" t="s">
        <v>45</v>
      </c>
      <c r="R23" s="15" t="s">
        <v>179</v>
      </c>
      <c r="S23" s="15" t="s">
        <v>321</v>
      </c>
      <c r="T23" s="15" t="s">
        <v>322</v>
      </c>
      <c r="U23" s="16">
        <v>72.93</v>
      </c>
      <c r="V23" s="16">
        <v>94.64</v>
      </c>
      <c r="W23" s="15">
        <v>1.0</v>
      </c>
      <c r="X23" s="17">
        <f t="shared" si="2"/>
        <v>94.64</v>
      </c>
      <c r="Y23" s="15" t="s">
        <v>44</v>
      </c>
      <c r="Z23" s="15" t="s">
        <v>49</v>
      </c>
      <c r="AA23" s="15" t="s">
        <v>94</v>
      </c>
      <c r="AB23" s="15" t="s">
        <v>323</v>
      </c>
      <c r="AC23" s="15" t="s">
        <v>324</v>
      </c>
      <c r="AD23" s="16">
        <v>72.93</v>
      </c>
      <c r="AE23" s="16">
        <v>95.81</v>
      </c>
      <c r="AF23" s="15">
        <v>1.0</v>
      </c>
      <c r="AG23" s="17">
        <f t="shared" si="3"/>
        <v>95.81</v>
      </c>
      <c r="AH23" s="15" t="s">
        <v>44</v>
      </c>
      <c r="AI23" s="15" t="s">
        <v>49</v>
      </c>
      <c r="AJ23" s="15" t="s">
        <v>135</v>
      </c>
      <c r="AK23" s="15" t="s">
        <v>325</v>
      </c>
      <c r="AL23" s="15" t="s">
        <v>326</v>
      </c>
      <c r="AM23" s="16">
        <v>72.93</v>
      </c>
      <c r="AN23" s="16">
        <v>96.67</v>
      </c>
      <c r="AO23" s="15">
        <v>1.0</v>
      </c>
      <c r="AP23" s="17">
        <f t="shared" si="4"/>
        <v>96.67</v>
      </c>
      <c r="AQ23" s="15" t="s">
        <v>39</v>
      </c>
      <c r="AR23" s="15" t="s">
        <v>67</v>
      </c>
      <c r="AS23" s="15" t="s">
        <v>179</v>
      </c>
      <c r="AT23" s="15" t="s">
        <v>57</v>
      </c>
      <c r="AU23" s="15" t="s">
        <v>106</v>
      </c>
    </row>
    <row r="24" ht="30.0" customHeight="1">
      <c r="A24" s="6" t="s">
        <v>327</v>
      </c>
      <c r="B24" s="8" t="s">
        <v>328</v>
      </c>
      <c r="C24" s="8" t="s">
        <v>329</v>
      </c>
      <c r="D24" s="8" t="s">
        <v>61</v>
      </c>
      <c r="E24" s="8" t="s">
        <v>141</v>
      </c>
      <c r="F24" s="8" t="s">
        <v>255</v>
      </c>
      <c r="G24" s="6" t="s">
        <v>39</v>
      </c>
      <c r="H24" s="6" t="s">
        <v>83</v>
      </c>
      <c r="I24" s="6" t="s">
        <v>41</v>
      </c>
      <c r="J24" s="15" t="s">
        <v>330</v>
      </c>
      <c r="K24" s="15" t="s">
        <v>331</v>
      </c>
      <c r="L24" s="16">
        <v>19.99</v>
      </c>
      <c r="M24" s="16">
        <v>24.92</v>
      </c>
      <c r="N24" s="15">
        <v>1.0</v>
      </c>
      <c r="O24" s="17">
        <f t="shared" si="1"/>
        <v>24.92</v>
      </c>
      <c r="P24" s="15" t="s">
        <v>44</v>
      </c>
      <c r="Q24" s="15" t="s">
        <v>49</v>
      </c>
      <c r="R24" s="15" t="s">
        <v>73</v>
      </c>
      <c r="S24" s="15" t="s">
        <v>332</v>
      </c>
      <c r="T24" s="15" t="s">
        <v>333</v>
      </c>
      <c r="U24" s="16">
        <v>19.99</v>
      </c>
      <c r="V24" s="16">
        <v>26.72</v>
      </c>
      <c r="W24" s="15">
        <v>5.0</v>
      </c>
      <c r="X24" s="17">
        <f t="shared" si="2"/>
        <v>5.344</v>
      </c>
      <c r="Y24" s="15" t="s">
        <v>39</v>
      </c>
      <c r="Z24" s="15" t="s">
        <v>67</v>
      </c>
      <c r="AA24" s="15" t="s">
        <v>179</v>
      </c>
      <c r="AB24" s="15" t="s">
        <v>334</v>
      </c>
      <c r="AC24" s="15" t="s">
        <v>335</v>
      </c>
      <c r="AD24" s="16">
        <v>19.99</v>
      </c>
      <c r="AE24" s="16">
        <v>24.89</v>
      </c>
      <c r="AF24" s="15">
        <v>5.0</v>
      </c>
      <c r="AG24" s="17">
        <f t="shared" si="3"/>
        <v>4.978</v>
      </c>
      <c r="AH24" s="15" t="s">
        <v>44</v>
      </c>
      <c r="AI24" s="15" t="s">
        <v>45</v>
      </c>
      <c r="AJ24" s="15" t="s">
        <v>94</v>
      </c>
      <c r="AK24" s="15" t="s">
        <v>336</v>
      </c>
      <c r="AL24" s="15" t="s">
        <v>337</v>
      </c>
      <c r="AM24" s="16">
        <v>19.99</v>
      </c>
      <c r="AN24" s="16">
        <v>23.72</v>
      </c>
      <c r="AO24" s="15">
        <v>5.0</v>
      </c>
      <c r="AP24" s="17">
        <f t="shared" si="4"/>
        <v>4.744</v>
      </c>
      <c r="AQ24" s="15" t="s">
        <v>44</v>
      </c>
      <c r="AR24" s="15" t="s">
        <v>49</v>
      </c>
      <c r="AS24" s="15" t="s">
        <v>73</v>
      </c>
      <c r="AT24" s="15" t="s">
        <v>120</v>
      </c>
      <c r="AU24" s="15" t="s">
        <v>41</v>
      </c>
    </row>
    <row r="25" ht="30.0" customHeight="1">
      <c r="A25" s="6" t="s">
        <v>338</v>
      </c>
      <c r="B25" s="8" t="s">
        <v>253</v>
      </c>
      <c r="C25" s="8" t="s">
        <v>339</v>
      </c>
      <c r="D25" s="8" t="s">
        <v>242</v>
      </c>
      <c r="E25" s="8" t="s">
        <v>141</v>
      </c>
      <c r="F25" s="8" t="s">
        <v>231</v>
      </c>
      <c r="G25" s="6" t="s">
        <v>39</v>
      </c>
      <c r="H25" s="6" t="s">
        <v>340</v>
      </c>
      <c r="I25" s="6" t="s">
        <v>106</v>
      </c>
      <c r="J25" s="15" t="s">
        <v>341</v>
      </c>
      <c r="K25" s="15" t="s">
        <v>342</v>
      </c>
      <c r="L25" s="16">
        <v>41.53</v>
      </c>
      <c r="M25" s="16">
        <v>47.82</v>
      </c>
      <c r="N25" s="15">
        <v>1.0</v>
      </c>
      <c r="O25" s="17">
        <f t="shared" si="1"/>
        <v>47.82</v>
      </c>
      <c r="P25" s="15" t="s">
        <v>44</v>
      </c>
      <c r="Q25" s="15" t="s">
        <v>49</v>
      </c>
      <c r="R25" s="15" t="s">
        <v>56</v>
      </c>
      <c r="S25" s="15" t="s">
        <v>343</v>
      </c>
      <c r="T25" s="15" t="s">
        <v>344</v>
      </c>
      <c r="U25" s="16">
        <v>41.53</v>
      </c>
      <c r="V25" s="16">
        <v>41.07</v>
      </c>
      <c r="W25" s="15">
        <v>1.0</v>
      </c>
      <c r="X25" s="17">
        <f t="shared" si="2"/>
        <v>41.07</v>
      </c>
      <c r="Y25" s="15" t="s">
        <v>44</v>
      </c>
      <c r="Z25" s="15" t="s">
        <v>100</v>
      </c>
      <c r="AA25" s="15" t="s">
        <v>94</v>
      </c>
      <c r="AB25" s="15" t="s">
        <v>345</v>
      </c>
      <c r="AC25" s="15" t="s">
        <v>346</v>
      </c>
      <c r="AD25" s="16">
        <v>41.53</v>
      </c>
      <c r="AE25" s="16">
        <v>45.82</v>
      </c>
      <c r="AF25" s="15">
        <v>1.0</v>
      </c>
      <c r="AG25" s="17">
        <f t="shared" si="3"/>
        <v>45.82</v>
      </c>
      <c r="AH25" s="15" t="s">
        <v>44</v>
      </c>
      <c r="AI25" s="15" t="s">
        <v>45</v>
      </c>
      <c r="AJ25" s="15" t="s">
        <v>50</v>
      </c>
      <c r="AK25" s="15" t="s">
        <v>347</v>
      </c>
      <c r="AL25" s="15" t="s">
        <v>348</v>
      </c>
      <c r="AM25" s="16">
        <v>41.53</v>
      </c>
      <c r="AN25" s="16">
        <v>39.6</v>
      </c>
      <c r="AO25" s="15">
        <v>1.0</v>
      </c>
      <c r="AP25" s="17">
        <f t="shared" si="4"/>
        <v>39.6</v>
      </c>
      <c r="AQ25" s="15" t="s">
        <v>44</v>
      </c>
      <c r="AR25" s="15" t="s">
        <v>67</v>
      </c>
      <c r="AS25" s="15" t="s">
        <v>53</v>
      </c>
      <c r="AT25" s="15" t="s">
        <v>120</v>
      </c>
      <c r="AU25" s="15" t="s">
        <v>106</v>
      </c>
    </row>
    <row r="26" ht="30.0" customHeight="1">
      <c r="A26" s="6" t="s">
        <v>349</v>
      </c>
      <c r="B26" s="8" t="s">
        <v>350</v>
      </c>
      <c r="C26" s="8" t="s">
        <v>351</v>
      </c>
      <c r="D26" s="8" t="s">
        <v>80</v>
      </c>
      <c r="E26" s="8" t="s">
        <v>81</v>
      </c>
      <c r="F26" s="8" t="s">
        <v>352</v>
      </c>
      <c r="G26" s="6" t="s">
        <v>39</v>
      </c>
      <c r="H26" s="6" t="s">
        <v>40</v>
      </c>
      <c r="I26" s="6" t="s">
        <v>41</v>
      </c>
      <c r="J26" s="15" t="s">
        <v>353</v>
      </c>
      <c r="K26" s="15" t="s">
        <v>354</v>
      </c>
      <c r="L26" s="16">
        <v>37.89</v>
      </c>
      <c r="M26" s="16">
        <v>43.74</v>
      </c>
      <c r="N26" s="15">
        <v>12.0</v>
      </c>
      <c r="O26" s="17">
        <f t="shared" si="1"/>
        <v>3.645</v>
      </c>
      <c r="P26" s="15" t="s">
        <v>44</v>
      </c>
      <c r="Q26" s="15" t="s">
        <v>109</v>
      </c>
      <c r="R26" s="15" t="s">
        <v>115</v>
      </c>
      <c r="S26" s="15" t="s">
        <v>355</v>
      </c>
      <c r="T26" s="15" t="s">
        <v>356</v>
      </c>
      <c r="U26" s="16">
        <v>37.89</v>
      </c>
      <c r="V26" s="16">
        <v>52.35</v>
      </c>
      <c r="W26" s="15">
        <v>1.0</v>
      </c>
      <c r="X26" s="17">
        <f t="shared" si="2"/>
        <v>52.35</v>
      </c>
      <c r="Y26" s="15" t="s">
        <v>39</v>
      </c>
      <c r="Z26" s="15" t="s">
        <v>109</v>
      </c>
      <c r="AA26" s="15" t="s">
        <v>46</v>
      </c>
      <c r="AB26" s="15" t="s">
        <v>357</v>
      </c>
      <c r="AC26" s="15" t="s">
        <v>358</v>
      </c>
      <c r="AD26" s="16">
        <v>37.89</v>
      </c>
      <c r="AE26" s="16">
        <v>53.3</v>
      </c>
      <c r="AF26" s="15">
        <v>1.0</v>
      </c>
      <c r="AG26" s="17">
        <f t="shared" si="3"/>
        <v>53.3</v>
      </c>
      <c r="AH26" s="15" t="s">
        <v>44</v>
      </c>
      <c r="AI26" s="15" t="s">
        <v>49</v>
      </c>
      <c r="AJ26" s="15" t="s">
        <v>56</v>
      </c>
      <c r="AK26" s="15" t="s">
        <v>359</v>
      </c>
      <c r="AL26" s="15" t="s">
        <v>360</v>
      </c>
      <c r="AM26" s="16">
        <v>37.89</v>
      </c>
      <c r="AN26" s="16">
        <v>49.68</v>
      </c>
      <c r="AO26" s="15">
        <v>1.0</v>
      </c>
      <c r="AP26" s="17">
        <f t="shared" si="4"/>
        <v>49.68</v>
      </c>
      <c r="AQ26" s="15" t="s">
        <v>39</v>
      </c>
      <c r="AR26" s="15" t="s">
        <v>89</v>
      </c>
      <c r="AS26" s="15" t="s">
        <v>73</v>
      </c>
      <c r="AT26" s="15" t="s">
        <v>57</v>
      </c>
      <c r="AU26" s="15" t="s">
        <v>41</v>
      </c>
    </row>
    <row r="27" ht="30.0" customHeight="1">
      <c r="A27" s="6" t="s">
        <v>361</v>
      </c>
      <c r="B27" s="8" t="s">
        <v>362</v>
      </c>
      <c r="C27" s="8" t="s">
        <v>363</v>
      </c>
      <c r="D27" s="8" t="s">
        <v>105</v>
      </c>
      <c r="E27" s="8" t="s">
        <v>81</v>
      </c>
      <c r="F27" s="8" t="s">
        <v>352</v>
      </c>
      <c r="G27" s="6" t="s">
        <v>39</v>
      </c>
      <c r="H27" s="6" t="s">
        <v>151</v>
      </c>
      <c r="I27" s="6" t="s">
        <v>106</v>
      </c>
      <c r="J27" s="15" t="s">
        <v>364</v>
      </c>
      <c r="K27" s="15" t="s">
        <v>365</v>
      </c>
      <c r="L27" s="16">
        <v>69.79</v>
      </c>
      <c r="M27" s="16">
        <v>83.32</v>
      </c>
      <c r="N27" s="15">
        <v>12.0</v>
      </c>
      <c r="O27" s="17">
        <f t="shared" si="1"/>
        <v>6.943333333</v>
      </c>
      <c r="P27" s="15" t="s">
        <v>44</v>
      </c>
      <c r="Q27" s="15" t="s">
        <v>49</v>
      </c>
      <c r="R27" s="15" t="s">
        <v>115</v>
      </c>
      <c r="S27" s="15" t="s">
        <v>366</v>
      </c>
      <c r="T27" s="15" t="s">
        <v>367</v>
      </c>
      <c r="U27" s="16">
        <v>69.79</v>
      </c>
      <c r="V27" s="16">
        <v>75.64</v>
      </c>
      <c r="W27" s="15">
        <v>1.0</v>
      </c>
      <c r="X27" s="17">
        <f t="shared" si="2"/>
        <v>75.64</v>
      </c>
      <c r="Y27" s="15" t="s">
        <v>39</v>
      </c>
      <c r="Z27" s="15" t="s">
        <v>100</v>
      </c>
      <c r="AA27" s="15" t="s">
        <v>135</v>
      </c>
      <c r="AB27" s="15" t="s">
        <v>368</v>
      </c>
      <c r="AC27" s="15" t="s">
        <v>369</v>
      </c>
      <c r="AD27" s="16">
        <v>69.79</v>
      </c>
      <c r="AE27" s="16">
        <v>76.98</v>
      </c>
      <c r="AF27" s="15">
        <v>10.0</v>
      </c>
      <c r="AG27" s="17">
        <f t="shared" si="3"/>
        <v>7.698</v>
      </c>
      <c r="AH27" s="15" t="s">
        <v>44</v>
      </c>
      <c r="AI27" s="15" t="s">
        <v>67</v>
      </c>
      <c r="AJ27" s="15" t="s">
        <v>115</v>
      </c>
      <c r="AK27" s="15" t="s">
        <v>370</v>
      </c>
      <c r="AL27" s="15" t="s">
        <v>371</v>
      </c>
      <c r="AM27" s="16">
        <v>69.79</v>
      </c>
      <c r="AN27" s="16">
        <v>87.92</v>
      </c>
      <c r="AO27" s="15">
        <v>1.0</v>
      </c>
      <c r="AP27" s="17">
        <f t="shared" si="4"/>
        <v>87.92</v>
      </c>
      <c r="AQ27" s="15" t="s">
        <v>44</v>
      </c>
      <c r="AR27" s="15" t="s">
        <v>89</v>
      </c>
      <c r="AS27" s="15" t="s">
        <v>135</v>
      </c>
      <c r="AT27" s="15" t="s">
        <v>155</v>
      </c>
      <c r="AU27" s="15" t="s">
        <v>106</v>
      </c>
    </row>
    <row r="28" ht="30.0" customHeight="1">
      <c r="A28" s="6" t="s">
        <v>372</v>
      </c>
      <c r="B28" s="8" t="s">
        <v>373</v>
      </c>
      <c r="C28" s="8" t="s">
        <v>374</v>
      </c>
      <c r="D28" s="8" t="s">
        <v>105</v>
      </c>
      <c r="E28" s="8" t="s">
        <v>141</v>
      </c>
      <c r="F28" s="8" t="s">
        <v>172</v>
      </c>
      <c r="G28" s="6" t="s">
        <v>39</v>
      </c>
      <c r="H28" s="6" t="s">
        <v>173</v>
      </c>
      <c r="I28" s="6" t="s">
        <v>41</v>
      </c>
      <c r="J28" s="15" t="s">
        <v>375</v>
      </c>
      <c r="K28" s="15" t="s">
        <v>376</v>
      </c>
      <c r="L28" s="16">
        <v>42.88</v>
      </c>
      <c r="M28" s="16">
        <v>41.09</v>
      </c>
      <c r="N28" s="15">
        <v>50.0</v>
      </c>
      <c r="O28" s="17">
        <f t="shared" si="1"/>
        <v>0.8218</v>
      </c>
      <c r="P28" s="15" t="s">
        <v>44</v>
      </c>
      <c r="Q28" s="15" t="s">
        <v>49</v>
      </c>
      <c r="R28" s="15" t="s">
        <v>53</v>
      </c>
      <c r="S28" s="15" t="s">
        <v>377</v>
      </c>
      <c r="T28" s="15" t="s">
        <v>378</v>
      </c>
      <c r="U28" s="16">
        <v>42.88</v>
      </c>
      <c r="V28" s="16">
        <v>51.95</v>
      </c>
      <c r="W28" s="15">
        <v>50.0</v>
      </c>
      <c r="X28" s="17">
        <f t="shared" si="2"/>
        <v>1.039</v>
      </c>
      <c r="Y28" s="15" t="s">
        <v>39</v>
      </c>
      <c r="Z28" s="15" t="s">
        <v>45</v>
      </c>
      <c r="AA28" s="15" t="s">
        <v>115</v>
      </c>
      <c r="AB28" s="15" t="s">
        <v>379</v>
      </c>
      <c r="AC28" s="15" t="s">
        <v>380</v>
      </c>
      <c r="AD28" s="16">
        <v>42.88</v>
      </c>
      <c r="AE28" s="16">
        <v>48.33</v>
      </c>
      <c r="AF28" s="15">
        <v>50.0</v>
      </c>
      <c r="AG28" s="17">
        <f t="shared" si="3"/>
        <v>0.9666</v>
      </c>
      <c r="AH28" s="15" t="s">
        <v>39</v>
      </c>
      <c r="AI28" s="15" t="s">
        <v>45</v>
      </c>
      <c r="AJ28" s="15" t="s">
        <v>179</v>
      </c>
      <c r="AK28" s="15" t="s">
        <v>381</v>
      </c>
      <c r="AL28" s="15" t="s">
        <v>382</v>
      </c>
      <c r="AM28" s="16">
        <v>42.88</v>
      </c>
      <c r="AN28" s="16">
        <v>42.68</v>
      </c>
      <c r="AO28" s="15">
        <v>50.0</v>
      </c>
      <c r="AP28" s="17">
        <f t="shared" si="4"/>
        <v>0.8536</v>
      </c>
      <c r="AQ28" s="15" t="s">
        <v>39</v>
      </c>
      <c r="AR28" s="15" t="s">
        <v>67</v>
      </c>
      <c r="AS28" s="15" t="s">
        <v>46</v>
      </c>
      <c r="AT28" s="15" t="s">
        <v>57</v>
      </c>
      <c r="AU28" s="15" t="s">
        <v>41</v>
      </c>
    </row>
    <row r="29" ht="30.0" customHeight="1">
      <c r="A29" s="6" t="s">
        <v>383</v>
      </c>
      <c r="B29" s="8" t="s">
        <v>384</v>
      </c>
      <c r="C29" s="8" t="s">
        <v>385</v>
      </c>
      <c r="D29" s="8" t="s">
        <v>105</v>
      </c>
      <c r="E29" s="8" t="s">
        <v>154</v>
      </c>
      <c r="F29" s="8" t="s">
        <v>243</v>
      </c>
      <c r="G29" s="6" t="s">
        <v>44</v>
      </c>
      <c r="H29" s="6" t="s">
        <v>386</v>
      </c>
      <c r="I29" s="6" t="s">
        <v>41</v>
      </c>
      <c r="J29" s="15" t="s">
        <v>387</v>
      </c>
      <c r="K29" s="15" t="s">
        <v>388</v>
      </c>
      <c r="L29" s="16">
        <v>31.8</v>
      </c>
      <c r="M29" s="16">
        <v>41.82</v>
      </c>
      <c r="N29" s="15">
        <v>1.0</v>
      </c>
      <c r="O29" s="17">
        <f t="shared" si="1"/>
        <v>41.82</v>
      </c>
      <c r="P29" s="15" t="s">
        <v>39</v>
      </c>
      <c r="Q29" s="15" t="s">
        <v>100</v>
      </c>
      <c r="R29" s="15" t="s">
        <v>56</v>
      </c>
      <c r="S29" s="15" t="s">
        <v>389</v>
      </c>
      <c r="T29" s="15" t="s">
        <v>390</v>
      </c>
      <c r="U29" s="16">
        <v>31.8</v>
      </c>
      <c r="V29" s="16">
        <v>33.73</v>
      </c>
      <c r="W29" s="15">
        <v>5.0</v>
      </c>
      <c r="X29" s="17">
        <f t="shared" si="2"/>
        <v>6.746</v>
      </c>
      <c r="Y29" s="15" t="s">
        <v>39</v>
      </c>
      <c r="Z29" s="15" t="s">
        <v>89</v>
      </c>
      <c r="AA29" s="15" t="s">
        <v>53</v>
      </c>
      <c r="AB29" s="15" t="s">
        <v>391</v>
      </c>
      <c r="AC29" s="15" t="s">
        <v>392</v>
      </c>
      <c r="AD29" s="16">
        <v>31.8</v>
      </c>
      <c r="AE29" s="16">
        <v>41.92</v>
      </c>
      <c r="AF29" s="15">
        <v>1.0</v>
      </c>
      <c r="AG29" s="17">
        <f t="shared" si="3"/>
        <v>41.92</v>
      </c>
      <c r="AH29" s="15" t="s">
        <v>44</v>
      </c>
      <c r="AI29" s="15" t="s">
        <v>67</v>
      </c>
      <c r="AJ29" s="15" t="s">
        <v>94</v>
      </c>
      <c r="AK29" s="15" t="s">
        <v>393</v>
      </c>
      <c r="AL29" s="15" t="s">
        <v>394</v>
      </c>
      <c r="AM29" s="16">
        <v>31.8</v>
      </c>
      <c r="AN29" s="16">
        <v>34.48</v>
      </c>
      <c r="AO29" s="15">
        <v>1.0</v>
      </c>
      <c r="AP29" s="17">
        <f t="shared" si="4"/>
        <v>34.48</v>
      </c>
      <c r="AQ29" s="15" t="s">
        <v>44</v>
      </c>
      <c r="AR29" s="15" t="s">
        <v>49</v>
      </c>
      <c r="AS29" s="15" t="s">
        <v>70</v>
      </c>
      <c r="AT29" s="15" t="s">
        <v>120</v>
      </c>
      <c r="AU29" s="15" t="s">
        <v>41</v>
      </c>
    </row>
    <row r="30" ht="30.0" customHeight="1">
      <c r="A30" s="6" t="s">
        <v>395</v>
      </c>
      <c r="B30" s="8" t="s">
        <v>396</v>
      </c>
      <c r="C30" s="8" t="s">
        <v>397</v>
      </c>
      <c r="D30" s="8" t="s">
        <v>317</v>
      </c>
      <c r="E30" s="8" t="s">
        <v>141</v>
      </c>
      <c r="F30" s="8" t="s">
        <v>172</v>
      </c>
      <c r="G30" s="6" t="s">
        <v>39</v>
      </c>
      <c r="H30" s="6" t="s">
        <v>398</v>
      </c>
      <c r="I30" s="6" t="s">
        <v>106</v>
      </c>
      <c r="J30" s="15" t="s">
        <v>399</v>
      </c>
      <c r="K30" s="15" t="s">
        <v>400</v>
      </c>
      <c r="L30" s="16">
        <v>72.74</v>
      </c>
      <c r="M30" s="16">
        <v>90.05</v>
      </c>
      <c r="N30" s="15">
        <v>50.0</v>
      </c>
      <c r="O30" s="17">
        <f t="shared" si="1"/>
        <v>1.801</v>
      </c>
      <c r="P30" s="15" t="s">
        <v>44</v>
      </c>
      <c r="Q30" s="15" t="s">
        <v>49</v>
      </c>
      <c r="R30" s="15" t="s">
        <v>73</v>
      </c>
      <c r="S30" s="15" t="s">
        <v>401</v>
      </c>
      <c r="T30" s="15" t="s">
        <v>402</v>
      </c>
      <c r="U30" s="16">
        <v>72.74</v>
      </c>
      <c r="V30" s="16">
        <v>77.1</v>
      </c>
      <c r="W30" s="15">
        <v>50.0</v>
      </c>
      <c r="X30" s="17">
        <f t="shared" si="2"/>
        <v>1.542</v>
      </c>
      <c r="Y30" s="15" t="s">
        <v>44</v>
      </c>
      <c r="Z30" s="15" t="s">
        <v>109</v>
      </c>
      <c r="AA30" s="15" t="s">
        <v>56</v>
      </c>
      <c r="AB30" s="15" t="s">
        <v>403</v>
      </c>
      <c r="AC30" s="15" t="s">
        <v>404</v>
      </c>
      <c r="AD30" s="16">
        <v>72.74</v>
      </c>
      <c r="AE30" s="16">
        <v>85.64</v>
      </c>
      <c r="AF30" s="15">
        <v>50.0</v>
      </c>
      <c r="AG30" s="17">
        <f t="shared" si="3"/>
        <v>1.7128</v>
      </c>
      <c r="AH30" s="15" t="s">
        <v>44</v>
      </c>
      <c r="AI30" s="15" t="s">
        <v>89</v>
      </c>
      <c r="AJ30" s="15" t="s">
        <v>56</v>
      </c>
      <c r="AK30" s="15" t="s">
        <v>405</v>
      </c>
      <c r="AL30" s="15" t="s">
        <v>406</v>
      </c>
      <c r="AM30" s="16">
        <v>72.74</v>
      </c>
      <c r="AN30" s="16">
        <v>79.45</v>
      </c>
      <c r="AO30" s="15">
        <v>5.0</v>
      </c>
      <c r="AP30" s="17">
        <f t="shared" si="4"/>
        <v>15.89</v>
      </c>
      <c r="AQ30" s="15" t="s">
        <v>44</v>
      </c>
      <c r="AR30" s="15" t="s">
        <v>67</v>
      </c>
      <c r="AS30" s="15" t="s">
        <v>50</v>
      </c>
      <c r="AT30" s="15" t="s">
        <v>57</v>
      </c>
      <c r="AU30" s="15" t="s">
        <v>106</v>
      </c>
    </row>
    <row r="31" ht="30.0" customHeight="1">
      <c r="A31" s="6" t="s">
        <v>407</v>
      </c>
      <c r="B31" s="8" t="s">
        <v>408</v>
      </c>
      <c r="C31" s="8" t="s">
        <v>316</v>
      </c>
      <c r="D31" s="8" t="s">
        <v>217</v>
      </c>
      <c r="E31" s="8" t="s">
        <v>141</v>
      </c>
      <c r="F31" s="8" t="s">
        <v>231</v>
      </c>
      <c r="G31" s="6" t="s">
        <v>39</v>
      </c>
      <c r="H31" s="6" t="s">
        <v>83</v>
      </c>
      <c r="I31" s="6" t="s">
        <v>106</v>
      </c>
      <c r="J31" s="15" t="s">
        <v>409</v>
      </c>
      <c r="K31" s="15" t="s">
        <v>410</v>
      </c>
      <c r="L31" s="16">
        <v>69.39</v>
      </c>
      <c r="M31" s="16">
        <v>89.45</v>
      </c>
      <c r="N31" s="15">
        <v>10.0</v>
      </c>
      <c r="O31" s="17">
        <f t="shared" si="1"/>
        <v>8.945</v>
      </c>
      <c r="P31" s="15" t="s">
        <v>44</v>
      </c>
      <c r="Q31" s="15" t="s">
        <v>67</v>
      </c>
      <c r="R31" s="15" t="s">
        <v>70</v>
      </c>
      <c r="S31" s="15" t="s">
        <v>411</v>
      </c>
      <c r="T31" s="15" t="s">
        <v>412</v>
      </c>
      <c r="U31" s="16">
        <v>69.39</v>
      </c>
      <c r="V31" s="16">
        <v>76.78</v>
      </c>
      <c r="W31" s="15">
        <v>10.0</v>
      </c>
      <c r="X31" s="17">
        <f t="shared" si="2"/>
        <v>7.678</v>
      </c>
      <c r="Y31" s="15" t="s">
        <v>44</v>
      </c>
      <c r="Z31" s="15" t="s">
        <v>45</v>
      </c>
      <c r="AA31" s="15" t="s">
        <v>73</v>
      </c>
      <c r="AB31" s="15" t="s">
        <v>413</v>
      </c>
      <c r="AC31" s="15" t="s">
        <v>414</v>
      </c>
      <c r="AD31" s="16">
        <v>69.39</v>
      </c>
      <c r="AE31" s="16">
        <v>83.7</v>
      </c>
      <c r="AF31" s="15">
        <v>10.0</v>
      </c>
      <c r="AG31" s="17">
        <f t="shared" si="3"/>
        <v>8.37</v>
      </c>
      <c r="AH31" s="15" t="s">
        <v>39</v>
      </c>
      <c r="AI31" s="15" t="s">
        <v>89</v>
      </c>
      <c r="AJ31" s="15" t="s">
        <v>179</v>
      </c>
      <c r="AK31" s="15" t="s">
        <v>415</v>
      </c>
      <c r="AL31" s="15" t="s">
        <v>416</v>
      </c>
      <c r="AM31" s="16">
        <v>69.39</v>
      </c>
      <c r="AN31" s="16">
        <v>85.09</v>
      </c>
      <c r="AO31" s="15">
        <v>12.0</v>
      </c>
      <c r="AP31" s="17">
        <f t="shared" si="4"/>
        <v>7.090833333</v>
      </c>
      <c r="AQ31" s="15" t="s">
        <v>39</v>
      </c>
      <c r="AR31" s="15" t="s">
        <v>49</v>
      </c>
      <c r="AS31" s="15" t="s">
        <v>70</v>
      </c>
      <c r="AT31" s="15" t="s">
        <v>57</v>
      </c>
      <c r="AU31" s="15" t="s">
        <v>106</v>
      </c>
    </row>
    <row r="32" ht="30.0" customHeight="1">
      <c r="A32" s="6" t="s">
        <v>417</v>
      </c>
      <c r="B32" s="8" t="s">
        <v>418</v>
      </c>
      <c r="C32" s="8" t="s">
        <v>419</v>
      </c>
      <c r="D32" s="8" t="s">
        <v>242</v>
      </c>
      <c r="E32" s="8" t="s">
        <v>162</v>
      </c>
      <c r="F32" s="8" t="s">
        <v>420</v>
      </c>
      <c r="G32" s="6" t="s">
        <v>44</v>
      </c>
      <c r="H32" s="6" t="s">
        <v>40</v>
      </c>
      <c r="I32" s="6" t="s">
        <v>106</v>
      </c>
      <c r="J32" s="15" t="s">
        <v>421</v>
      </c>
      <c r="K32" s="15" t="s">
        <v>422</v>
      </c>
      <c r="L32" s="16">
        <v>12.08</v>
      </c>
      <c r="M32" s="16">
        <v>12.3</v>
      </c>
      <c r="N32" s="15">
        <v>10.0</v>
      </c>
      <c r="O32" s="17">
        <f t="shared" si="1"/>
        <v>1.23</v>
      </c>
      <c r="P32" s="15" t="s">
        <v>44</v>
      </c>
      <c r="Q32" s="15" t="s">
        <v>49</v>
      </c>
      <c r="R32" s="15" t="s">
        <v>115</v>
      </c>
      <c r="S32" s="15" t="s">
        <v>423</v>
      </c>
      <c r="T32" s="15" t="s">
        <v>424</v>
      </c>
      <c r="U32" s="16">
        <v>12.08</v>
      </c>
      <c r="V32" s="16">
        <v>14.55</v>
      </c>
      <c r="W32" s="15">
        <v>10.0</v>
      </c>
      <c r="X32" s="17">
        <f t="shared" si="2"/>
        <v>1.455</v>
      </c>
      <c r="Y32" s="15" t="s">
        <v>39</v>
      </c>
      <c r="Z32" s="15" t="s">
        <v>67</v>
      </c>
      <c r="AA32" s="15" t="s">
        <v>56</v>
      </c>
      <c r="AB32" s="15" t="s">
        <v>425</v>
      </c>
      <c r="AC32" s="15" t="s">
        <v>426</v>
      </c>
      <c r="AD32" s="16">
        <v>12.08</v>
      </c>
      <c r="AE32" s="16">
        <v>11.67</v>
      </c>
      <c r="AF32" s="15">
        <v>10.0</v>
      </c>
      <c r="AG32" s="17">
        <f t="shared" si="3"/>
        <v>1.167</v>
      </c>
      <c r="AH32" s="15" t="s">
        <v>44</v>
      </c>
      <c r="AI32" s="15" t="s">
        <v>89</v>
      </c>
      <c r="AJ32" s="15" t="s">
        <v>94</v>
      </c>
      <c r="AK32" s="15" t="s">
        <v>427</v>
      </c>
      <c r="AL32" s="15" t="s">
        <v>428</v>
      </c>
      <c r="AM32" s="16">
        <v>12.08</v>
      </c>
      <c r="AN32" s="16">
        <v>14.95</v>
      </c>
      <c r="AO32" s="15">
        <v>10.0</v>
      </c>
      <c r="AP32" s="17">
        <f t="shared" si="4"/>
        <v>1.495</v>
      </c>
      <c r="AQ32" s="15" t="s">
        <v>39</v>
      </c>
      <c r="AR32" s="15" t="s">
        <v>109</v>
      </c>
      <c r="AS32" s="15" t="s">
        <v>73</v>
      </c>
      <c r="AT32" s="15" t="s">
        <v>57</v>
      </c>
      <c r="AU32" s="15" t="s">
        <v>106</v>
      </c>
    </row>
    <row r="33" ht="30.0" customHeight="1">
      <c r="A33" s="6" t="s">
        <v>429</v>
      </c>
      <c r="B33" s="8" t="s">
        <v>430</v>
      </c>
      <c r="C33" s="8" t="s">
        <v>431</v>
      </c>
      <c r="D33" s="8" t="s">
        <v>278</v>
      </c>
      <c r="E33" s="8" t="s">
        <v>166</v>
      </c>
      <c r="F33" s="8" t="s">
        <v>432</v>
      </c>
      <c r="G33" s="6" t="s">
        <v>39</v>
      </c>
      <c r="H33" s="6" t="s">
        <v>433</v>
      </c>
      <c r="I33" s="6" t="s">
        <v>106</v>
      </c>
      <c r="J33" s="15" t="s">
        <v>434</v>
      </c>
      <c r="K33" s="15" t="s">
        <v>435</v>
      </c>
      <c r="L33" s="16">
        <v>79.03</v>
      </c>
      <c r="M33" s="16">
        <v>89.21</v>
      </c>
      <c r="N33" s="15">
        <v>50.0</v>
      </c>
      <c r="O33" s="17">
        <f t="shared" si="1"/>
        <v>1.7842</v>
      </c>
      <c r="P33" s="15" t="s">
        <v>44</v>
      </c>
      <c r="Q33" s="15" t="s">
        <v>49</v>
      </c>
      <c r="R33" s="15" t="s">
        <v>115</v>
      </c>
      <c r="S33" s="15" t="s">
        <v>436</v>
      </c>
      <c r="T33" s="15" t="s">
        <v>437</v>
      </c>
      <c r="U33" s="16">
        <v>79.03</v>
      </c>
      <c r="V33" s="16">
        <v>94.65</v>
      </c>
      <c r="W33" s="15">
        <v>24.0</v>
      </c>
      <c r="X33" s="17">
        <f t="shared" si="2"/>
        <v>3.94375</v>
      </c>
      <c r="Y33" s="15" t="s">
        <v>39</v>
      </c>
      <c r="Z33" s="15" t="s">
        <v>89</v>
      </c>
      <c r="AA33" s="15" t="s">
        <v>135</v>
      </c>
      <c r="AB33" s="15" t="s">
        <v>438</v>
      </c>
      <c r="AC33" s="15" t="s">
        <v>439</v>
      </c>
      <c r="AD33" s="16">
        <v>79.03</v>
      </c>
      <c r="AE33" s="16">
        <v>92.78</v>
      </c>
      <c r="AF33" s="15">
        <v>24.0</v>
      </c>
      <c r="AG33" s="17">
        <f t="shared" si="3"/>
        <v>3.865833333</v>
      </c>
      <c r="AH33" s="15" t="s">
        <v>39</v>
      </c>
      <c r="AI33" s="15" t="s">
        <v>49</v>
      </c>
      <c r="AJ33" s="15" t="s">
        <v>70</v>
      </c>
      <c r="AK33" s="15" t="s">
        <v>440</v>
      </c>
      <c r="AL33" s="15" t="s">
        <v>441</v>
      </c>
      <c r="AM33" s="16">
        <v>79.03</v>
      </c>
      <c r="AN33" s="16">
        <v>107.1</v>
      </c>
      <c r="AO33" s="15">
        <v>24.0</v>
      </c>
      <c r="AP33" s="17">
        <f t="shared" si="4"/>
        <v>4.4625</v>
      </c>
      <c r="AQ33" s="15" t="s">
        <v>44</v>
      </c>
      <c r="AR33" s="15" t="s">
        <v>67</v>
      </c>
      <c r="AS33" s="15" t="s">
        <v>46</v>
      </c>
      <c r="AT33" s="15" t="s">
        <v>57</v>
      </c>
      <c r="AU33" s="15" t="s">
        <v>106</v>
      </c>
    </row>
    <row r="34" ht="30.0" customHeight="1">
      <c r="A34" s="6" t="s">
        <v>442</v>
      </c>
      <c r="B34" s="8" t="s">
        <v>443</v>
      </c>
      <c r="C34" s="8" t="s">
        <v>444</v>
      </c>
      <c r="D34" s="8" t="s">
        <v>242</v>
      </c>
      <c r="E34" s="8" t="s">
        <v>162</v>
      </c>
      <c r="F34" s="8" t="s">
        <v>420</v>
      </c>
      <c r="G34" s="6" t="s">
        <v>39</v>
      </c>
      <c r="H34" s="6" t="s">
        <v>40</v>
      </c>
      <c r="I34" s="6" t="s">
        <v>106</v>
      </c>
      <c r="J34" s="15" t="s">
        <v>445</v>
      </c>
      <c r="K34" s="15" t="s">
        <v>446</v>
      </c>
      <c r="L34" s="16">
        <v>45.87</v>
      </c>
      <c r="M34" s="16">
        <v>45.33</v>
      </c>
      <c r="N34" s="15">
        <v>12.0</v>
      </c>
      <c r="O34" s="17">
        <f t="shared" si="1"/>
        <v>3.7775</v>
      </c>
      <c r="P34" s="15" t="s">
        <v>44</v>
      </c>
      <c r="Q34" s="15" t="s">
        <v>45</v>
      </c>
      <c r="R34" s="15" t="s">
        <v>135</v>
      </c>
      <c r="S34" s="15" t="s">
        <v>447</v>
      </c>
      <c r="T34" s="15" t="s">
        <v>448</v>
      </c>
      <c r="U34" s="16">
        <v>45.87</v>
      </c>
      <c r="V34" s="16">
        <v>58.57</v>
      </c>
      <c r="W34" s="15">
        <v>12.0</v>
      </c>
      <c r="X34" s="17">
        <f t="shared" si="2"/>
        <v>4.880833333</v>
      </c>
      <c r="Y34" s="15" t="s">
        <v>39</v>
      </c>
      <c r="Z34" s="15" t="s">
        <v>49</v>
      </c>
      <c r="AA34" s="15" t="s">
        <v>53</v>
      </c>
      <c r="AB34" s="15" t="s">
        <v>449</v>
      </c>
      <c r="AC34" s="15" t="s">
        <v>450</v>
      </c>
      <c r="AD34" s="16">
        <v>45.87</v>
      </c>
      <c r="AE34" s="16">
        <v>51.82</v>
      </c>
      <c r="AF34" s="15">
        <v>12.0</v>
      </c>
      <c r="AG34" s="17">
        <f t="shared" si="3"/>
        <v>4.318333333</v>
      </c>
      <c r="AH34" s="15" t="s">
        <v>39</v>
      </c>
      <c r="AI34" s="15" t="s">
        <v>89</v>
      </c>
      <c r="AJ34" s="15" t="s">
        <v>56</v>
      </c>
      <c r="AK34" s="15" t="s">
        <v>451</v>
      </c>
      <c r="AL34" s="15" t="s">
        <v>452</v>
      </c>
      <c r="AM34" s="16">
        <v>45.87</v>
      </c>
      <c r="AN34" s="16">
        <v>52.33</v>
      </c>
      <c r="AO34" s="15">
        <v>12.0</v>
      </c>
      <c r="AP34" s="17">
        <f t="shared" si="4"/>
        <v>4.360833333</v>
      </c>
      <c r="AQ34" s="15" t="s">
        <v>44</v>
      </c>
      <c r="AR34" s="15" t="s">
        <v>45</v>
      </c>
      <c r="AS34" s="15" t="s">
        <v>56</v>
      </c>
      <c r="AT34" s="15" t="s">
        <v>57</v>
      </c>
      <c r="AU34" s="15" t="s">
        <v>106</v>
      </c>
    </row>
    <row r="35" ht="30.0" customHeight="1">
      <c r="A35" s="6" t="s">
        <v>453</v>
      </c>
      <c r="B35" s="8" t="s">
        <v>454</v>
      </c>
      <c r="C35" s="8" t="s">
        <v>455</v>
      </c>
      <c r="D35" s="8" t="s">
        <v>36</v>
      </c>
      <c r="E35" s="8" t="s">
        <v>141</v>
      </c>
      <c r="F35" s="8" t="s">
        <v>172</v>
      </c>
      <c r="G35" s="6" t="s">
        <v>39</v>
      </c>
      <c r="H35" s="6" t="s">
        <v>456</v>
      </c>
      <c r="I35" s="6" t="s">
        <v>106</v>
      </c>
      <c r="J35" s="15" t="s">
        <v>457</v>
      </c>
      <c r="K35" s="15" t="s">
        <v>458</v>
      </c>
      <c r="L35" s="16">
        <v>6.75</v>
      </c>
      <c r="M35" s="16">
        <v>8.67</v>
      </c>
      <c r="N35" s="15">
        <v>10.0</v>
      </c>
      <c r="O35" s="17">
        <f t="shared" si="1"/>
        <v>0.867</v>
      </c>
      <c r="P35" s="15" t="s">
        <v>44</v>
      </c>
      <c r="Q35" s="15" t="s">
        <v>67</v>
      </c>
      <c r="R35" s="15" t="s">
        <v>73</v>
      </c>
      <c r="S35" s="15" t="s">
        <v>459</v>
      </c>
      <c r="T35" s="15" t="s">
        <v>460</v>
      </c>
      <c r="U35" s="16">
        <v>6.75</v>
      </c>
      <c r="V35" s="16">
        <v>9.78</v>
      </c>
      <c r="W35" s="15">
        <v>1.0</v>
      </c>
      <c r="X35" s="17">
        <f t="shared" si="2"/>
        <v>9.78</v>
      </c>
      <c r="Y35" s="15" t="s">
        <v>44</v>
      </c>
      <c r="Z35" s="15" t="s">
        <v>89</v>
      </c>
      <c r="AA35" s="15" t="s">
        <v>135</v>
      </c>
      <c r="AB35" s="15" t="s">
        <v>461</v>
      </c>
      <c r="AC35" s="15" t="s">
        <v>462</v>
      </c>
      <c r="AD35" s="16">
        <v>6.75</v>
      </c>
      <c r="AE35" s="16">
        <v>7.32</v>
      </c>
      <c r="AF35" s="15">
        <v>1.0</v>
      </c>
      <c r="AG35" s="17">
        <f t="shared" si="3"/>
        <v>7.32</v>
      </c>
      <c r="AH35" s="15" t="s">
        <v>44</v>
      </c>
      <c r="AI35" s="15" t="s">
        <v>67</v>
      </c>
      <c r="AJ35" s="15" t="s">
        <v>179</v>
      </c>
      <c r="AK35" s="15" t="s">
        <v>463</v>
      </c>
      <c r="AL35" s="15" t="s">
        <v>464</v>
      </c>
      <c r="AM35" s="16">
        <v>6.75</v>
      </c>
      <c r="AN35" s="16">
        <v>8.77</v>
      </c>
      <c r="AO35" s="15">
        <v>1.0</v>
      </c>
      <c r="AP35" s="17">
        <f t="shared" si="4"/>
        <v>8.77</v>
      </c>
      <c r="AQ35" s="15" t="s">
        <v>44</v>
      </c>
      <c r="AR35" s="15" t="s">
        <v>67</v>
      </c>
      <c r="AS35" s="15" t="s">
        <v>70</v>
      </c>
      <c r="AT35" s="15" t="s">
        <v>155</v>
      </c>
      <c r="AU35" s="15" t="s">
        <v>106</v>
      </c>
    </row>
    <row r="36" ht="30.0" customHeight="1">
      <c r="A36" s="6" t="s">
        <v>465</v>
      </c>
      <c r="B36" s="8" t="s">
        <v>466</v>
      </c>
      <c r="C36" s="8" t="s">
        <v>467</v>
      </c>
      <c r="D36" s="8" t="s">
        <v>36</v>
      </c>
      <c r="E36" s="8" t="s">
        <v>81</v>
      </c>
      <c r="F36" s="8" t="s">
        <v>82</v>
      </c>
      <c r="G36" s="6" t="s">
        <v>39</v>
      </c>
      <c r="H36" s="6" t="s">
        <v>340</v>
      </c>
      <c r="I36" s="6" t="s">
        <v>41</v>
      </c>
      <c r="J36" s="15" t="s">
        <v>468</v>
      </c>
      <c r="K36" s="15" t="s">
        <v>469</v>
      </c>
      <c r="L36" s="16">
        <v>42.13</v>
      </c>
      <c r="M36" s="16">
        <v>52.48</v>
      </c>
      <c r="N36" s="15">
        <v>1.0</v>
      </c>
      <c r="O36" s="17">
        <f t="shared" si="1"/>
        <v>52.48</v>
      </c>
      <c r="P36" s="15" t="s">
        <v>39</v>
      </c>
      <c r="Q36" s="15" t="s">
        <v>67</v>
      </c>
      <c r="R36" s="15" t="s">
        <v>115</v>
      </c>
      <c r="S36" s="15" t="s">
        <v>470</v>
      </c>
      <c r="T36" s="15" t="s">
        <v>471</v>
      </c>
      <c r="U36" s="16">
        <v>42.13</v>
      </c>
      <c r="V36" s="16">
        <v>49.65</v>
      </c>
      <c r="W36" s="15">
        <v>1.0</v>
      </c>
      <c r="X36" s="17">
        <f t="shared" si="2"/>
        <v>49.65</v>
      </c>
      <c r="Y36" s="15" t="s">
        <v>44</v>
      </c>
      <c r="Z36" s="15" t="s">
        <v>89</v>
      </c>
      <c r="AA36" s="15" t="s">
        <v>53</v>
      </c>
      <c r="AB36" s="15" t="s">
        <v>472</v>
      </c>
      <c r="AC36" s="15" t="s">
        <v>473</v>
      </c>
      <c r="AD36" s="16">
        <v>42.13</v>
      </c>
      <c r="AE36" s="16">
        <v>45.38</v>
      </c>
      <c r="AF36" s="15">
        <v>1.0</v>
      </c>
      <c r="AG36" s="17">
        <f t="shared" si="3"/>
        <v>45.38</v>
      </c>
      <c r="AH36" s="15" t="s">
        <v>39</v>
      </c>
      <c r="AI36" s="15" t="s">
        <v>45</v>
      </c>
      <c r="AJ36" s="15" t="s">
        <v>53</v>
      </c>
      <c r="AK36" s="15" t="s">
        <v>474</v>
      </c>
      <c r="AL36" s="15" t="s">
        <v>475</v>
      </c>
      <c r="AM36" s="16">
        <v>42.13</v>
      </c>
      <c r="AN36" s="16">
        <v>45.38</v>
      </c>
      <c r="AO36" s="15">
        <v>1.0</v>
      </c>
      <c r="AP36" s="17">
        <f t="shared" si="4"/>
        <v>45.38</v>
      </c>
      <c r="AQ36" s="15" t="s">
        <v>44</v>
      </c>
      <c r="AR36" s="15" t="s">
        <v>89</v>
      </c>
      <c r="AS36" s="15" t="s">
        <v>135</v>
      </c>
      <c r="AT36" s="15" t="s">
        <v>57</v>
      </c>
      <c r="AU36" s="15" t="s">
        <v>41</v>
      </c>
    </row>
    <row r="37" ht="30.0" customHeight="1">
      <c r="A37" s="6" t="s">
        <v>476</v>
      </c>
      <c r="B37" s="8" t="s">
        <v>477</v>
      </c>
      <c r="C37" s="8" t="s">
        <v>35</v>
      </c>
      <c r="D37" s="8" t="s">
        <v>317</v>
      </c>
      <c r="E37" s="8" t="s">
        <v>37</v>
      </c>
      <c r="F37" s="8" t="s">
        <v>218</v>
      </c>
      <c r="G37" s="6" t="s">
        <v>44</v>
      </c>
      <c r="H37" s="6" t="s">
        <v>386</v>
      </c>
      <c r="I37" s="6" t="s">
        <v>41</v>
      </c>
      <c r="J37" s="15" t="s">
        <v>478</v>
      </c>
      <c r="K37" s="15" t="s">
        <v>479</v>
      </c>
      <c r="L37" s="16">
        <v>49.58</v>
      </c>
      <c r="M37" s="16">
        <v>65.76</v>
      </c>
      <c r="N37" s="15">
        <v>1.0</v>
      </c>
      <c r="O37" s="17">
        <f t="shared" si="1"/>
        <v>65.76</v>
      </c>
      <c r="P37" s="15" t="s">
        <v>39</v>
      </c>
      <c r="Q37" s="15" t="s">
        <v>76</v>
      </c>
      <c r="R37" s="15" t="s">
        <v>115</v>
      </c>
      <c r="S37" s="15" t="s">
        <v>480</v>
      </c>
      <c r="T37" s="15" t="s">
        <v>481</v>
      </c>
      <c r="U37" s="16">
        <v>49.58</v>
      </c>
      <c r="V37" s="16">
        <v>61.18</v>
      </c>
      <c r="W37" s="15">
        <v>1.0</v>
      </c>
      <c r="X37" s="17">
        <f t="shared" si="2"/>
        <v>61.18</v>
      </c>
      <c r="Y37" s="15" t="s">
        <v>44</v>
      </c>
      <c r="Z37" s="15" t="s">
        <v>67</v>
      </c>
      <c r="AA37" s="15" t="s">
        <v>73</v>
      </c>
      <c r="AB37" s="15" t="s">
        <v>482</v>
      </c>
      <c r="AC37" s="15" t="s">
        <v>483</v>
      </c>
      <c r="AD37" s="16">
        <v>49.58</v>
      </c>
      <c r="AE37" s="16">
        <v>67.17</v>
      </c>
      <c r="AF37" s="15">
        <v>1.0</v>
      </c>
      <c r="AG37" s="17">
        <f t="shared" si="3"/>
        <v>67.17</v>
      </c>
      <c r="AH37" s="15" t="s">
        <v>39</v>
      </c>
      <c r="AI37" s="15" t="s">
        <v>49</v>
      </c>
      <c r="AJ37" s="15" t="s">
        <v>50</v>
      </c>
      <c r="AK37" s="15" t="s">
        <v>484</v>
      </c>
      <c r="AL37" s="15" t="s">
        <v>485</v>
      </c>
      <c r="AM37" s="16">
        <v>49.58</v>
      </c>
      <c r="AN37" s="16">
        <v>67.68</v>
      </c>
      <c r="AO37" s="15">
        <v>1.0</v>
      </c>
      <c r="AP37" s="17">
        <f t="shared" si="4"/>
        <v>67.68</v>
      </c>
      <c r="AQ37" s="15" t="s">
        <v>44</v>
      </c>
      <c r="AR37" s="15" t="s">
        <v>67</v>
      </c>
      <c r="AS37" s="15" t="s">
        <v>56</v>
      </c>
      <c r="AT37" s="15" t="s">
        <v>155</v>
      </c>
      <c r="AU37" s="15" t="s">
        <v>41</v>
      </c>
    </row>
    <row r="38" ht="30.0" customHeight="1">
      <c r="A38" s="6" t="s">
        <v>486</v>
      </c>
      <c r="B38" s="8" t="s">
        <v>487</v>
      </c>
      <c r="C38" s="8" t="s">
        <v>488</v>
      </c>
      <c r="D38" s="8" t="s">
        <v>191</v>
      </c>
      <c r="E38" s="8" t="s">
        <v>81</v>
      </c>
      <c r="F38" s="8" t="s">
        <v>82</v>
      </c>
      <c r="G38" s="6" t="s">
        <v>44</v>
      </c>
      <c r="H38" s="6" t="s">
        <v>489</v>
      </c>
      <c r="I38" s="6" t="s">
        <v>106</v>
      </c>
      <c r="J38" s="15" t="s">
        <v>490</v>
      </c>
      <c r="K38" s="15" t="s">
        <v>491</v>
      </c>
      <c r="L38" s="16">
        <v>12.34</v>
      </c>
      <c r="M38" s="16">
        <v>15.41</v>
      </c>
      <c r="N38" s="15">
        <v>100.0</v>
      </c>
      <c r="O38" s="17">
        <f t="shared" si="1"/>
        <v>0.1541</v>
      </c>
      <c r="P38" s="15" t="s">
        <v>44</v>
      </c>
      <c r="Q38" s="15" t="s">
        <v>49</v>
      </c>
      <c r="R38" s="15" t="s">
        <v>179</v>
      </c>
      <c r="S38" s="15" t="s">
        <v>492</v>
      </c>
      <c r="T38" s="15" t="s">
        <v>493</v>
      </c>
      <c r="U38" s="16">
        <v>12.34</v>
      </c>
      <c r="V38" s="16">
        <v>12.52</v>
      </c>
      <c r="W38" s="15">
        <v>5.0</v>
      </c>
      <c r="X38" s="17">
        <f t="shared" si="2"/>
        <v>2.504</v>
      </c>
      <c r="Y38" s="15" t="s">
        <v>44</v>
      </c>
      <c r="Z38" s="15" t="s">
        <v>67</v>
      </c>
      <c r="AA38" s="15" t="s">
        <v>73</v>
      </c>
      <c r="AB38" s="15" t="s">
        <v>494</v>
      </c>
      <c r="AC38" s="15" t="s">
        <v>495</v>
      </c>
      <c r="AD38" s="16">
        <v>12.34</v>
      </c>
      <c r="AE38" s="16">
        <v>17.25</v>
      </c>
      <c r="AF38" s="15">
        <v>100.0</v>
      </c>
      <c r="AG38" s="17">
        <f t="shared" si="3"/>
        <v>0.1725</v>
      </c>
      <c r="AH38" s="15" t="s">
        <v>44</v>
      </c>
      <c r="AI38" s="15" t="s">
        <v>67</v>
      </c>
      <c r="AJ38" s="15" t="s">
        <v>53</v>
      </c>
      <c r="AK38" s="15" t="s">
        <v>496</v>
      </c>
      <c r="AL38" s="15" t="s">
        <v>497</v>
      </c>
      <c r="AM38" s="16">
        <v>12.34</v>
      </c>
      <c r="AN38" s="16">
        <v>14.41</v>
      </c>
      <c r="AO38" s="15">
        <v>5.0</v>
      </c>
      <c r="AP38" s="17">
        <f t="shared" si="4"/>
        <v>2.882</v>
      </c>
      <c r="AQ38" s="15" t="s">
        <v>44</v>
      </c>
      <c r="AR38" s="15" t="s">
        <v>89</v>
      </c>
      <c r="AS38" s="15" t="s">
        <v>179</v>
      </c>
      <c r="AT38" s="15" t="s">
        <v>57</v>
      </c>
      <c r="AU38" s="15" t="s">
        <v>106</v>
      </c>
    </row>
    <row r="39" ht="30.0" customHeight="1">
      <c r="A39" s="6" t="s">
        <v>498</v>
      </c>
      <c r="B39" s="8" t="s">
        <v>499</v>
      </c>
      <c r="C39" s="8" t="s">
        <v>500</v>
      </c>
      <c r="D39" s="8" t="s">
        <v>36</v>
      </c>
      <c r="E39" s="8" t="s">
        <v>162</v>
      </c>
      <c r="F39" s="8" t="s">
        <v>204</v>
      </c>
      <c r="G39" s="6" t="s">
        <v>39</v>
      </c>
      <c r="H39" s="6" t="s">
        <v>501</v>
      </c>
      <c r="I39" s="6" t="s">
        <v>41</v>
      </c>
      <c r="J39" s="15" t="s">
        <v>502</v>
      </c>
      <c r="K39" s="15" t="s">
        <v>503</v>
      </c>
      <c r="L39" s="16">
        <v>70.86</v>
      </c>
      <c r="M39" s="16">
        <v>87.78</v>
      </c>
      <c r="N39" s="15">
        <v>1.0</v>
      </c>
      <c r="O39" s="17">
        <f t="shared" si="1"/>
        <v>87.78</v>
      </c>
      <c r="P39" s="15" t="s">
        <v>44</v>
      </c>
      <c r="Q39" s="15" t="s">
        <v>49</v>
      </c>
      <c r="R39" s="15" t="s">
        <v>179</v>
      </c>
      <c r="S39" s="15" t="s">
        <v>504</v>
      </c>
      <c r="T39" s="15" t="s">
        <v>505</v>
      </c>
      <c r="U39" s="16">
        <v>70.86</v>
      </c>
      <c r="V39" s="16">
        <v>97.4</v>
      </c>
      <c r="W39" s="15">
        <v>12.0</v>
      </c>
      <c r="X39" s="17">
        <f t="shared" si="2"/>
        <v>8.116666667</v>
      </c>
      <c r="Y39" s="15" t="s">
        <v>44</v>
      </c>
      <c r="Z39" s="15" t="s">
        <v>49</v>
      </c>
      <c r="AA39" s="15" t="s">
        <v>94</v>
      </c>
      <c r="AB39" s="15" t="s">
        <v>506</v>
      </c>
      <c r="AC39" s="15" t="s">
        <v>507</v>
      </c>
      <c r="AD39" s="16">
        <v>70.86</v>
      </c>
      <c r="AE39" s="16">
        <v>79.09</v>
      </c>
      <c r="AF39" s="15">
        <v>100.0</v>
      </c>
      <c r="AG39" s="17">
        <f t="shared" si="3"/>
        <v>0.7909</v>
      </c>
      <c r="AH39" s="15" t="s">
        <v>44</v>
      </c>
      <c r="AI39" s="15" t="s">
        <v>45</v>
      </c>
      <c r="AJ39" s="15" t="s">
        <v>94</v>
      </c>
      <c r="AK39" s="15" t="s">
        <v>508</v>
      </c>
      <c r="AL39" s="15" t="s">
        <v>509</v>
      </c>
      <c r="AM39" s="16">
        <v>70.86</v>
      </c>
      <c r="AN39" s="16">
        <v>92.2</v>
      </c>
      <c r="AO39" s="15">
        <v>25.0</v>
      </c>
      <c r="AP39" s="17">
        <f t="shared" si="4"/>
        <v>3.688</v>
      </c>
      <c r="AQ39" s="15" t="s">
        <v>44</v>
      </c>
      <c r="AR39" s="15" t="s">
        <v>67</v>
      </c>
      <c r="AS39" s="15" t="s">
        <v>94</v>
      </c>
      <c r="AT39" s="15" t="s">
        <v>155</v>
      </c>
      <c r="AU39" s="15" t="s">
        <v>41</v>
      </c>
    </row>
    <row r="40" ht="30.0" customHeight="1">
      <c r="A40" s="6" t="s">
        <v>510</v>
      </c>
      <c r="B40" s="8" t="s">
        <v>265</v>
      </c>
      <c r="C40" s="8" t="s">
        <v>329</v>
      </c>
      <c r="D40" s="8" t="s">
        <v>191</v>
      </c>
      <c r="E40" s="8" t="s">
        <v>171</v>
      </c>
      <c r="F40" s="8" t="s">
        <v>511</v>
      </c>
      <c r="G40" s="6" t="s">
        <v>39</v>
      </c>
      <c r="H40" s="6" t="s">
        <v>433</v>
      </c>
      <c r="I40" s="6" t="s">
        <v>41</v>
      </c>
      <c r="J40" s="15" t="s">
        <v>512</v>
      </c>
      <c r="K40" s="15" t="s">
        <v>513</v>
      </c>
      <c r="L40" s="16">
        <v>7.16</v>
      </c>
      <c r="M40" s="16">
        <v>9.34</v>
      </c>
      <c r="N40" s="15">
        <v>1.0</v>
      </c>
      <c r="O40" s="17">
        <f t="shared" si="1"/>
        <v>9.34</v>
      </c>
      <c r="P40" s="15" t="s">
        <v>39</v>
      </c>
      <c r="Q40" s="15" t="s">
        <v>45</v>
      </c>
      <c r="R40" s="15" t="s">
        <v>53</v>
      </c>
      <c r="S40" s="15" t="s">
        <v>514</v>
      </c>
      <c r="T40" s="15" t="s">
        <v>515</v>
      </c>
      <c r="U40" s="16">
        <v>7.16</v>
      </c>
      <c r="V40" s="16">
        <v>9.03</v>
      </c>
      <c r="W40" s="15">
        <v>10.0</v>
      </c>
      <c r="X40" s="17">
        <f t="shared" si="2"/>
        <v>0.903</v>
      </c>
      <c r="Y40" s="15" t="s">
        <v>44</v>
      </c>
      <c r="Z40" s="15" t="s">
        <v>89</v>
      </c>
      <c r="AA40" s="15" t="s">
        <v>179</v>
      </c>
      <c r="AB40" s="15" t="s">
        <v>516</v>
      </c>
      <c r="AC40" s="15" t="s">
        <v>517</v>
      </c>
      <c r="AD40" s="16">
        <v>7.16</v>
      </c>
      <c r="AE40" s="16">
        <v>7.18</v>
      </c>
      <c r="AF40" s="15">
        <v>1.0</v>
      </c>
      <c r="AG40" s="17">
        <f t="shared" si="3"/>
        <v>7.18</v>
      </c>
      <c r="AH40" s="15" t="s">
        <v>39</v>
      </c>
      <c r="AI40" s="15" t="s">
        <v>45</v>
      </c>
      <c r="AJ40" s="15" t="s">
        <v>70</v>
      </c>
      <c r="AK40" s="15" t="s">
        <v>518</v>
      </c>
      <c r="AL40" s="15" t="s">
        <v>519</v>
      </c>
      <c r="AM40" s="16">
        <v>7.16</v>
      </c>
      <c r="AN40" s="16">
        <v>7.9</v>
      </c>
      <c r="AO40" s="15">
        <v>1.0</v>
      </c>
      <c r="AP40" s="17">
        <f t="shared" si="4"/>
        <v>7.9</v>
      </c>
      <c r="AQ40" s="15" t="s">
        <v>39</v>
      </c>
      <c r="AR40" s="15" t="s">
        <v>45</v>
      </c>
      <c r="AS40" s="15" t="s">
        <v>46</v>
      </c>
      <c r="AT40" s="15" t="s">
        <v>57</v>
      </c>
      <c r="AU40" s="15" t="s">
        <v>41</v>
      </c>
    </row>
    <row r="41" ht="30.0" customHeight="1">
      <c r="A41" s="6" t="s">
        <v>520</v>
      </c>
      <c r="B41" s="8" t="s">
        <v>521</v>
      </c>
      <c r="C41" s="8" t="s">
        <v>522</v>
      </c>
      <c r="D41" s="8" t="s">
        <v>317</v>
      </c>
      <c r="E41" s="8" t="s">
        <v>62</v>
      </c>
      <c r="F41" s="8" t="s">
        <v>523</v>
      </c>
      <c r="G41" s="6" t="s">
        <v>39</v>
      </c>
      <c r="H41" s="6" t="s">
        <v>501</v>
      </c>
      <c r="I41" s="6" t="s">
        <v>106</v>
      </c>
      <c r="J41" s="15" t="s">
        <v>524</v>
      </c>
      <c r="K41" s="15" t="s">
        <v>525</v>
      </c>
      <c r="L41" s="16">
        <v>67.75</v>
      </c>
      <c r="M41" s="16">
        <v>70.98</v>
      </c>
      <c r="N41" s="15">
        <v>1.0</v>
      </c>
      <c r="O41" s="17">
        <f t="shared" si="1"/>
        <v>70.98</v>
      </c>
      <c r="P41" s="15" t="s">
        <v>39</v>
      </c>
      <c r="Q41" s="15" t="s">
        <v>100</v>
      </c>
      <c r="R41" s="15" t="s">
        <v>46</v>
      </c>
      <c r="S41" s="15" t="s">
        <v>526</v>
      </c>
      <c r="T41" s="15" t="s">
        <v>527</v>
      </c>
      <c r="U41" s="16">
        <v>67.75</v>
      </c>
      <c r="V41" s="16">
        <v>67.8</v>
      </c>
      <c r="W41" s="15">
        <v>1.0</v>
      </c>
      <c r="X41" s="17">
        <f t="shared" si="2"/>
        <v>67.8</v>
      </c>
      <c r="Y41" s="15" t="s">
        <v>39</v>
      </c>
      <c r="Z41" s="15" t="s">
        <v>89</v>
      </c>
      <c r="AA41" s="15" t="s">
        <v>53</v>
      </c>
      <c r="AB41" s="15" t="s">
        <v>528</v>
      </c>
      <c r="AC41" s="15" t="s">
        <v>529</v>
      </c>
      <c r="AD41" s="16">
        <v>67.75</v>
      </c>
      <c r="AE41" s="16">
        <v>82.92</v>
      </c>
      <c r="AF41" s="15">
        <v>1.0</v>
      </c>
      <c r="AG41" s="17">
        <f t="shared" si="3"/>
        <v>82.92</v>
      </c>
      <c r="AH41" s="15" t="s">
        <v>39</v>
      </c>
      <c r="AI41" s="15" t="s">
        <v>67</v>
      </c>
      <c r="AJ41" s="15" t="s">
        <v>56</v>
      </c>
      <c r="AK41" s="15" t="s">
        <v>530</v>
      </c>
      <c r="AL41" s="15" t="s">
        <v>531</v>
      </c>
      <c r="AM41" s="16">
        <v>67.75</v>
      </c>
      <c r="AN41" s="16">
        <v>91.33</v>
      </c>
      <c r="AO41" s="15">
        <v>1.0</v>
      </c>
      <c r="AP41" s="17">
        <f t="shared" si="4"/>
        <v>91.33</v>
      </c>
      <c r="AQ41" s="15" t="s">
        <v>44</v>
      </c>
      <c r="AR41" s="15" t="s">
        <v>49</v>
      </c>
      <c r="AS41" s="15" t="s">
        <v>179</v>
      </c>
      <c r="AT41" s="15" t="s">
        <v>57</v>
      </c>
      <c r="AU41" s="15" t="s">
        <v>106</v>
      </c>
    </row>
    <row r="42" ht="30.0" customHeight="1">
      <c r="A42" s="6" t="s">
        <v>532</v>
      </c>
      <c r="B42" s="8" t="s">
        <v>533</v>
      </c>
      <c r="C42" s="8" t="s">
        <v>534</v>
      </c>
      <c r="D42" s="8" t="s">
        <v>61</v>
      </c>
      <c r="E42" s="8" t="s">
        <v>154</v>
      </c>
      <c r="F42" s="8" t="s">
        <v>535</v>
      </c>
      <c r="G42" s="6" t="s">
        <v>39</v>
      </c>
      <c r="H42" s="6" t="s">
        <v>292</v>
      </c>
      <c r="I42" s="6" t="s">
        <v>41</v>
      </c>
      <c r="J42" s="15" t="s">
        <v>536</v>
      </c>
      <c r="K42" s="15" t="s">
        <v>537</v>
      </c>
      <c r="L42" s="16">
        <v>28.31</v>
      </c>
      <c r="M42" s="16">
        <v>33.5</v>
      </c>
      <c r="N42" s="15">
        <v>12.0</v>
      </c>
      <c r="O42" s="17">
        <f t="shared" si="1"/>
        <v>2.791666667</v>
      </c>
      <c r="P42" s="15" t="s">
        <v>44</v>
      </c>
      <c r="Q42" s="15" t="s">
        <v>89</v>
      </c>
      <c r="R42" s="15" t="s">
        <v>115</v>
      </c>
      <c r="S42" s="15" t="s">
        <v>538</v>
      </c>
      <c r="T42" s="15" t="s">
        <v>539</v>
      </c>
      <c r="U42" s="16">
        <v>28.31</v>
      </c>
      <c r="V42" s="16">
        <v>37.04</v>
      </c>
      <c r="W42" s="15">
        <v>5.0</v>
      </c>
      <c r="X42" s="17">
        <f t="shared" si="2"/>
        <v>7.408</v>
      </c>
      <c r="Y42" s="15" t="s">
        <v>44</v>
      </c>
      <c r="Z42" s="15" t="s">
        <v>76</v>
      </c>
      <c r="AA42" s="15" t="s">
        <v>56</v>
      </c>
      <c r="AB42" s="15" t="s">
        <v>540</v>
      </c>
      <c r="AC42" s="15" t="s">
        <v>541</v>
      </c>
      <c r="AD42" s="16">
        <v>28.31</v>
      </c>
      <c r="AE42" s="16">
        <v>38.91</v>
      </c>
      <c r="AF42" s="15">
        <v>5.0</v>
      </c>
      <c r="AG42" s="17">
        <f t="shared" si="3"/>
        <v>7.782</v>
      </c>
      <c r="AH42" s="15" t="s">
        <v>44</v>
      </c>
      <c r="AI42" s="15" t="s">
        <v>67</v>
      </c>
      <c r="AJ42" s="15" t="s">
        <v>46</v>
      </c>
      <c r="AK42" s="15" t="s">
        <v>542</v>
      </c>
      <c r="AL42" s="15" t="s">
        <v>543</v>
      </c>
      <c r="AM42" s="16">
        <v>28.31</v>
      </c>
      <c r="AN42" s="16">
        <v>33.56</v>
      </c>
      <c r="AO42" s="15">
        <v>5.0</v>
      </c>
      <c r="AP42" s="17">
        <f t="shared" si="4"/>
        <v>6.712</v>
      </c>
      <c r="AQ42" s="15" t="s">
        <v>44</v>
      </c>
      <c r="AR42" s="15" t="s">
        <v>89</v>
      </c>
      <c r="AS42" s="15" t="s">
        <v>50</v>
      </c>
      <c r="AT42" s="15" t="s">
        <v>57</v>
      </c>
      <c r="AU42" s="15" t="s">
        <v>41</v>
      </c>
    </row>
    <row r="43" ht="30.0" customHeight="1">
      <c r="A43" s="6" t="s">
        <v>544</v>
      </c>
      <c r="B43" s="8" t="s">
        <v>545</v>
      </c>
      <c r="C43" s="8" t="s">
        <v>190</v>
      </c>
      <c r="D43" s="8" t="s">
        <v>546</v>
      </c>
      <c r="E43" s="8" t="s">
        <v>154</v>
      </c>
      <c r="F43" s="8" t="s">
        <v>243</v>
      </c>
      <c r="G43" s="6" t="s">
        <v>39</v>
      </c>
      <c r="H43" s="6" t="s">
        <v>547</v>
      </c>
      <c r="I43" s="6" t="s">
        <v>41</v>
      </c>
      <c r="J43" s="15" t="s">
        <v>548</v>
      </c>
      <c r="K43" s="15" t="s">
        <v>549</v>
      </c>
      <c r="L43" s="16">
        <v>68.94</v>
      </c>
      <c r="M43" s="16">
        <v>78.14</v>
      </c>
      <c r="N43" s="15">
        <v>25.0</v>
      </c>
      <c r="O43" s="17">
        <f t="shared" si="1"/>
        <v>3.1256</v>
      </c>
      <c r="P43" s="15" t="s">
        <v>44</v>
      </c>
      <c r="Q43" s="15" t="s">
        <v>67</v>
      </c>
      <c r="R43" s="15" t="s">
        <v>179</v>
      </c>
      <c r="S43" s="15" t="s">
        <v>550</v>
      </c>
      <c r="T43" s="15" t="s">
        <v>551</v>
      </c>
      <c r="U43" s="16">
        <v>68.94</v>
      </c>
      <c r="V43" s="16">
        <v>86.6</v>
      </c>
      <c r="W43" s="15">
        <v>1.0</v>
      </c>
      <c r="X43" s="17">
        <f t="shared" si="2"/>
        <v>86.6</v>
      </c>
      <c r="Y43" s="15" t="s">
        <v>44</v>
      </c>
      <c r="Z43" s="15" t="s">
        <v>89</v>
      </c>
      <c r="AA43" s="15" t="s">
        <v>53</v>
      </c>
      <c r="AB43" s="15" t="s">
        <v>552</v>
      </c>
      <c r="AC43" s="15" t="s">
        <v>553</v>
      </c>
      <c r="AD43" s="16">
        <v>68.94</v>
      </c>
      <c r="AE43" s="16">
        <v>88.59</v>
      </c>
      <c r="AF43" s="15">
        <v>100.0</v>
      </c>
      <c r="AG43" s="17">
        <f t="shared" si="3"/>
        <v>0.8859</v>
      </c>
      <c r="AH43" s="15" t="s">
        <v>44</v>
      </c>
      <c r="AI43" s="15" t="s">
        <v>49</v>
      </c>
      <c r="AJ43" s="15" t="s">
        <v>46</v>
      </c>
      <c r="AK43" s="15" t="s">
        <v>554</v>
      </c>
      <c r="AL43" s="15" t="s">
        <v>555</v>
      </c>
      <c r="AM43" s="16">
        <v>68.94</v>
      </c>
      <c r="AN43" s="16">
        <v>87.49</v>
      </c>
      <c r="AO43" s="15">
        <v>5.0</v>
      </c>
      <c r="AP43" s="17">
        <f t="shared" si="4"/>
        <v>17.498</v>
      </c>
      <c r="AQ43" s="15" t="s">
        <v>44</v>
      </c>
      <c r="AR43" s="15" t="s">
        <v>67</v>
      </c>
      <c r="AS43" s="15" t="s">
        <v>53</v>
      </c>
      <c r="AT43" s="15" t="s">
        <v>57</v>
      </c>
      <c r="AU43" s="15" t="s">
        <v>41</v>
      </c>
    </row>
    <row r="44" ht="30.0" customHeight="1">
      <c r="A44" s="6" t="s">
        <v>556</v>
      </c>
      <c r="B44" s="8" t="s">
        <v>557</v>
      </c>
      <c r="C44" s="8" t="s">
        <v>558</v>
      </c>
      <c r="D44" s="8" t="s">
        <v>36</v>
      </c>
      <c r="E44" s="8" t="s">
        <v>141</v>
      </c>
      <c r="F44" s="8" t="s">
        <v>255</v>
      </c>
      <c r="G44" s="6" t="s">
        <v>39</v>
      </c>
      <c r="H44" s="6" t="s">
        <v>559</v>
      </c>
      <c r="I44" s="6" t="s">
        <v>106</v>
      </c>
      <c r="J44" s="15" t="s">
        <v>560</v>
      </c>
      <c r="K44" s="15" t="s">
        <v>561</v>
      </c>
      <c r="L44" s="16">
        <v>41.37</v>
      </c>
      <c r="M44" s="16">
        <v>46.16</v>
      </c>
      <c r="N44" s="15">
        <v>1.0</v>
      </c>
      <c r="O44" s="17">
        <f t="shared" si="1"/>
        <v>46.16</v>
      </c>
      <c r="P44" s="15" t="s">
        <v>39</v>
      </c>
      <c r="Q44" s="15" t="s">
        <v>67</v>
      </c>
      <c r="R44" s="15" t="s">
        <v>56</v>
      </c>
      <c r="S44" s="15" t="s">
        <v>562</v>
      </c>
      <c r="T44" s="15" t="s">
        <v>563</v>
      </c>
      <c r="U44" s="16">
        <v>41.37</v>
      </c>
      <c r="V44" s="16">
        <v>50.1</v>
      </c>
      <c r="W44" s="15">
        <v>5.0</v>
      </c>
      <c r="X44" s="17">
        <f t="shared" si="2"/>
        <v>10.02</v>
      </c>
      <c r="Y44" s="15" t="s">
        <v>44</v>
      </c>
      <c r="Z44" s="15" t="s">
        <v>49</v>
      </c>
      <c r="AA44" s="15" t="s">
        <v>70</v>
      </c>
      <c r="AB44" s="15" t="s">
        <v>564</v>
      </c>
      <c r="AC44" s="15" t="s">
        <v>565</v>
      </c>
      <c r="AD44" s="16">
        <v>41.37</v>
      </c>
      <c r="AE44" s="16">
        <v>44.84</v>
      </c>
      <c r="AF44" s="15">
        <v>5.0</v>
      </c>
      <c r="AG44" s="17">
        <f t="shared" si="3"/>
        <v>8.968</v>
      </c>
      <c r="AH44" s="15" t="s">
        <v>44</v>
      </c>
      <c r="AI44" s="15" t="s">
        <v>45</v>
      </c>
      <c r="AJ44" s="15" t="s">
        <v>46</v>
      </c>
      <c r="AK44" s="15" t="s">
        <v>566</v>
      </c>
      <c r="AL44" s="15" t="s">
        <v>567</v>
      </c>
      <c r="AM44" s="16">
        <v>41.37</v>
      </c>
      <c r="AN44" s="16">
        <v>53.3</v>
      </c>
      <c r="AO44" s="15">
        <v>5.0</v>
      </c>
      <c r="AP44" s="17">
        <f t="shared" si="4"/>
        <v>10.66</v>
      </c>
      <c r="AQ44" s="15" t="s">
        <v>39</v>
      </c>
      <c r="AR44" s="15" t="s">
        <v>89</v>
      </c>
      <c r="AS44" s="15" t="s">
        <v>115</v>
      </c>
      <c r="AT44" s="15" t="s">
        <v>120</v>
      </c>
      <c r="AU44" s="15" t="s">
        <v>106</v>
      </c>
    </row>
    <row r="45" ht="30.0" customHeight="1">
      <c r="A45" s="6" t="s">
        <v>568</v>
      </c>
      <c r="B45" s="8" t="s">
        <v>569</v>
      </c>
      <c r="C45" s="8" t="s">
        <v>488</v>
      </c>
      <c r="D45" s="8" t="s">
        <v>36</v>
      </c>
      <c r="E45" s="8" t="s">
        <v>37</v>
      </c>
      <c r="F45" s="8" t="s">
        <v>218</v>
      </c>
      <c r="G45" s="6" t="s">
        <v>39</v>
      </c>
      <c r="H45" s="6" t="s">
        <v>570</v>
      </c>
      <c r="I45" s="6" t="s">
        <v>41</v>
      </c>
      <c r="J45" s="15" t="s">
        <v>571</v>
      </c>
      <c r="K45" s="15" t="s">
        <v>572</v>
      </c>
      <c r="L45" s="16">
        <v>41.02</v>
      </c>
      <c r="M45" s="16">
        <v>53.56</v>
      </c>
      <c r="N45" s="15">
        <v>5.0</v>
      </c>
      <c r="O45" s="17">
        <f t="shared" si="1"/>
        <v>10.712</v>
      </c>
      <c r="P45" s="15" t="s">
        <v>44</v>
      </c>
      <c r="Q45" s="15" t="s">
        <v>49</v>
      </c>
      <c r="R45" s="15" t="s">
        <v>50</v>
      </c>
      <c r="S45" s="15" t="s">
        <v>573</v>
      </c>
      <c r="T45" s="15" t="s">
        <v>574</v>
      </c>
      <c r="U45" s="16">
        <v>41.02</v>
      </c>
      <c r="V45" s="16">
        <v>43.52</v>
      </c>
      <c r="W45" s="15">
        <v>5.0</v>
      </c>
      <c r="X45" s="17">
        <f t="shared" si="2"/>
        <v>8.704</v>
      </c>
      <c r="Y45" s="15" t="s">
        <v>44</v>
      </c>
      <c r="Z45" s="15" t="s">
        <v>109</v>
      </c>
      <c r="AA45" s="15" t="s">
        <v>50</v>
      </c>
      <c r="AB45" s="15" t="s">
        <v>575</v>
      </c>
      <c r="AC45" s="15" t="s">
        <v>576</v>
      </c>
      <c r="AD45" s="16">
        <v>41.02</v>
      </c>
      <c r="AE45" s="16">
        <v>44.58</v>
      </c>
      <c r="AF45" s="15">
        <v>5.0</v>
      </c>
      <c r="AG45" s="17">
        <f t="shared" si="3"/>
        <v>8.916</v>
      </c>
      <c r="AH45" s="15" t="s">
        <v>39</v>
      </c>
      <c r="AI45" s="15" t="s">
        <v>67</v>
      </c>
      <c r="AJ45" s="15" t="s">
        <v>70</v>
      </c>
      <c r="AK45" s="15" t="s">
        <v>577</v>
      </c>
      <c r="AL45" s="15" t="s">
        <v>578</v>
      </c>
      <c r="AM45" s="16">
        <v>41.02</v>
      </c>
      <c r="AN45" s="16">
        <v>51.24</v>
      </c>
      <c r="AO45" s="15">
        <v>5.0</v>
      </c>
      <c r="AP45" s="17">
        <f t="shared" si="4"/>
        <v>10.248</v>
      </c>
      <c r="AQ45" s="15" t="s">
        <v>44</v>
      </c>
      <c r="AR45" s="15" t="s">
        <v>109</v>
      </c>
      <c r="AS45" s="15" t="s">
        <v>56</v>
      </c>
      <c r="AT45" s="15" t="s">
        <v>57</v>
      </c>
      <c r="AU45" s="15" t="s">
        <v>41</v>
      </c>
    </row>
    <row r="46" ht="30.0" customHeight="1">
      <c r="A46" s="6" t="s">
        <v>579</v>
      </c>
      <c r="B46" s="8" t="s">
        <v>580</v>
      </c>
      <c r="C46" s="8" t="s">
        <v>266</v>
      </c>
      <c r="D46" s="8" t="s">
        <v>105</v>
      </c>
      <c r="E46" s="8" t="s">
        <v>81</v>
      </c>
      <c r="F46" s="8" t="s">
        <v>352</v>
      </c>
      <c r="G46" s="6" t="s">
        <v>39</v>
      </c>
      <c r="H46" s="6" t="s">
        <v>433</v>
      </c>
      <c r="I46" s="6" t="s">
        <v>106</v>
      </c>
      <c r="J46" s="15" t="s">
        <v>581</v>
      </c>
      <c r="K46" s="15" t="s">
        <v>582</v>
      </c>
      <c r="L46" s="16">
        <v>68.8</v>
      </c>
      <c r="M46" s="16">
        <v>81.27</v>
      </c>
      <c r="N46" s="15">
        <v>1.0</v>
      </c>
      <c r="O46" s="17">
        <f t="shared" si="1"/>
        <v>81.27</v>
      </c>
      <c r="P46" s="15" t="s">
        <v>39</v>
      </c>
      <c r="Q46" s="15" t="s">
        <v>100</v>
      </c>
      <c r="R46" s="15" t="s">
        <v>50</v>
      </c>
      <c r="S46" s="15" t="s">
        <v>583</v>
      </c>
      <c r="T46" s="15" t="s">
        <v>584</v>
      </c>
      <c r="U46" s="16">
        <v>68.8</v>
      </c>
      <c r="V46" s="16">
        <v>76.51</v>
      </c>
      <c r="W46" s="15">
        <v>1.0</v>
      </c>
      <c r="X46" s="17">
        <f t="shared" si="2"/>
        <v>76.51</v>
      </c>
      <c r="Y46" s="15" t="s">
        <v>44</v>
      </c>
      <c r="Z46" s="15" t="s">
        <v>49</v>
      </c>
      <c r="AA46" s="15" t="s">
        <v>179</v>
      </c>
      <c r="AB46" s="15" t="s">
        <v>585</v>
      </c>
      <c r="AC46" s="15" t="s">
        <v>586</v>
      </c>
      <c r="AD46" s="16">
        <v>68.8</v>
      </c>
      <c r="AE46" s="16">
        <v>70.47</v>
      </c>
      <c r="AF46" s="15">
        <v>1.0</v>
      </c>
      <c r="AG46" s="17">
        <f t="shared" si="3"/>
        <v>70.47</v>
      </c>
      <c r="AH46" s="15" t="s">
        <v>39</v>
      </c>
      <c r="AI46" s="15" t="s">
        <v>109</v>
      </c>
      <c r="AJ46" s="15" t="s">
        <v>56</v>
      </c>
      <c r="AK46" s="15" t="s">
        <v>587</v>
      </c>
      <c r="AL46" s="15" t="s">
        <v>588</v>
      </c>
      <c r="AM46" s="16">
        <v>68.8</v>
      </c>
      <c r="AN46" s="16">
        <v>80.56</v>
      </c>
      <c r="AO46" s="15">
        <v>100.0</v>
      </c>
      <c r="AP46" s="17">
        <f t="shared" si="4"/>
        <v>0.8056</v>
      </c>
      <c r="AQ46" s="15" t="s">
        <v>39</v>
      </c>
      <c r="AR46" s="15" t="s">
        <v>45</v>
      </c>
      <c r="AS46" s="15" t="s">
        <v>46</v>
      </c>
      <c r="AT46" s="15" t="s">
        <v>155</v>
      </c>
      <c r="AU46" s="15" t="s">
        <v>106</v>
      </c>
    </row>
    <row r="47" ht="30.0" customHeight="1">
      <c r="A47" s="6" t="s">
        <v>589</v>
      </c>
      <c r="B47" s="8" t="s">
        <v>590</v>
      </c>
      <c r="C47" s="8" t="s">
        <v>591</v>
      </c>
      <c r="D47" s="8" t="s">
        <v>80</v>
      </c>
      <c r="E47" s="8" t="s">
        <v>174</v>
      </c>
      <c r="F47" s="8" t="s">
        <v>592</v>
      </c>
      <c r="G47" s="6" t="s">
        <v>44</v>
      </c>
      <c r="H47" s="6" t="s">
        <v>570</v>
      </c>
      <c r="I47" s="6" t="s">
        <v>106</v>
      </c>
      <c r="J47" s="15" t="s">
        <v>593</v>
      </c>
      <c r="K47" s="15" t="s">
        <v>594</v>
      </c>
      <c r="L47" s="16">
        <v>31.18</v>
      </c>
      <c r="M47" s="16">
        <v>32.11</v>
      </c>
      <c r="N47" s="15">
        <v>5.0</v>
      </c>
      <c r="O47" s="17">
        <f t="shared" si="1"/>
        <v>6.422</v>
      </c>
      <c r="P47" s="15" t="s">
        <v>44</v>
      </c>
      <c r="Q47" s="15" t="s">
        <v>76</v>
      </c>
      <c r="R47" s="15" t="s">
        <v>50</v>
      </c>
      <c r="S47" s="15" t="s">
        <v>595</v>
      </c>
      <c r="T47" s="15" t="s">
        <v>596</v>
      </c>
      <c r="U47" s="16">
        <v>31.18</v>
      </c>
      <c r="V47" s="16">
        <v>30.54</v>
      </c>
      <c r="W47" s="15">
        <v>5.0</v>
      </c>
      <c r="X47" s="17">
        <f t="shared" si="2"/>
        <v>6.108</v>
      </c>
      <c r="Y47" s="15" t="s">
        <v>39</v>
      </c>
      <c r="Z47" s="15" t="s">
        <v>67</v>
      </c>
      <c r="AA47" s="15" t="s">
        <v>56</v>
      </c>
      <c r="AB47" s="15" t="s">
        <v>597</v>
      </c>
      <c r="AC47" s="15" t="s">
        <v>598</v>
      </c>
      <c r="AD47" s="16">
        <v>31.18</v>
      </c>
      <c r="AE47" s="16">
        <v>36.71</v>
      </c>
      <c r="AF47" s="15">
        <v>25.0</v>
      </c>
      <c r="AG47" s="17">
        <f t="shared" si="3"/>
        <v>1.4684</v>
      </c>
      <c r="AH47" s="15" t="s">
        <v>44</v>
      </c>
      <c r="AI47" s="15" t="s">
        <v>67</v>
      </c>
      <c r="AJ47" s="15" t="s">
        <v>50</v>
      </c>
      <c r="AK47" s="15" t="s">
        <v>599</v>
      </c>
      <c r="AL47" s="15" t="s">
        <v>600</v>
      </c>
      <c r="AM47" s="16">
        <v>31.18</v>
      </c>
      <c r="AN47" s="16">
        <v>39.44</v>
      </c>
      <c r="AO47" s="15">
        <v>25.0</v>
      </c>
      <c r="AP47" s="17">
        <f t="shared" si="4"/>
        <v>1.5776</v>
      </c>
      <c r="AQ47" s="15" t="s">
        <v>44</v>
      </c>
      <c r="AR47" s="15" t="s">
        <v>89</v>
      </c>
      <c r="AS47" s="15" t="s">
        <v>70</v>
      </c>
      <c r="AT47" s="15" t="s">
        <v>155</v>
      </c>
      <c r="AU47" s="15" t="s">
        <v>106</v>
      </c>
    </row>
    <row r="48" ht="30.0" customHeight="1">
      <c r="A48" s="6" t="s">
        <v>601</v>
      </c>
      <c r="B48" s="8" t="s">
        <v>602</v>
      </c>
      <c r="C48" s="8" t="s">
        <v>277</v>
      </c>
      <c r="D48" s="8" t="s">
        <v>217</v>
      </c>
      <c r="E48" s="8" t="s">
        <v>81</v>
      </c>
      <c r="F48" s="8" t="s">
        <v>352</v>
      </c>
      <c r="G48" s="6" t="s">
        <v>44</v>
      </c>
      <c r="H48" s="6" t="s">
        <v>205</v>
      </c>
      <c r="I48" s="6" t="s">
        <v>106</v>
      </c>
      <c r="J48" s="15" t="s">
        <v>603</v>
      </c>
      <c r="K48" s="15" t="s">
        <v>604</v>
      </c>
      <c r="L48" s="16">
        <v>17.92</v>
      </c>
      <c r="M48" s="16">
        <v>19.08</v>
      </c>
      <c r="N48" s="15">
        <v>50.0</v>
      </c>
      <c r="O48" s="17">
        <f t="shared" si="1"/>
        <v>0.3816</v>
      </c>
      <c r="P48" s="15" t="s">
        <v>44</v>
      </c>
      <c r="Q48" s="15" t="s">
        <v>100</v>
      </c>
      <c r="R48" s="15" t="s">
        <v>73</v>
      </c>
      <c r="S48" s="15" t="s">
        <v>605</v>
      </c>
      <c r="T48" s="15" t="s">
        <v>606</v>
      </c>
      <c r="U48" s="16">
        <v>17.92</v>
      </c>
      <c r="V48" s="16">
        <v>23.74</v>
      </c>
      <c r="W48" s="15">
        <v>12.0</v>
      </c>
      <c r="X48" s="17">
        <f t="shared" si="2"/>
        <v>1.978333333</v>
      </c>
      <c r="Y48" s="15" t="s">
        <v>44</v>
      </c>
      <c r="Z48" s="15" t="s">
        <v>109</v>
      </c>
      <c r="AA48" s="15" t="s">
        <v>179</v>
      </c>
      <c r="AB48" s="15" t="s">
        <v>607</v>
      </c>
      <c r="AC48" s="15" t="s">
        <v>608</v>
      </c>
      <c r="AD48" s="16">
        <v>17.92</v>
      </c>
      <c r="AE48" s="16">
        <v>23.07</v>
      </c>
      <c r="AF48" s="15">
        <v>25.0</v>
      </c>
      <c r="AG48" s="17">
        <f t="shared" si="3"/>
        <v>0.9228</v>
      </c>
      <c r="AH48" s="15" t="s">
        <v>44</v>
      </c>
      <c r="AI48" s="15" t="s">
        <v>89</v>
      </c>
      <c r="AJ48" s="15" t="s">
        <v>115</v>
      </c>
      <c r="AK48" s="15" t="s">
        <v>609</v>
      </c>
      <c r="AL48" s="15" t="s">
        <v>610</v>
      </c>
      <c r="AM48" s="16">
        <v>17.92</v>
      </c>
      <c r="AN48" s="16">
        <v>21.24</v>
      </c>
      <c r="AO48" s="15">
        <v>12.0</v>
      </c>
      <c r="AP48" s="17">
        <f t="shared" si="4"/>
        <v>1.77</v>
      </c>
      <c r="AQ48" s="15" t="s">
        <v>44</v>
      </c>
      <c r="AR48" s="15" t="s">
        <v>67</v>
      </c>
      <c r="AS48" s="15" t="s">
        <v>135</v>
      </c>
      <c r="AT48" s="15" t="s">
        <v>57</v>
      </c>
      <c r="AU48" s="15" t="s">
        <v>106</v>
      </c>
    </row>
    <row r="49" ht="30.0" customHeight="1">
      <c r="A49" s="6" t="s">
        <v>611</v>
      </c>
      <c r="B49" s="8" t="s">
        <v>612</v>
      </c>
      <c r="C49" s="8" t="s">
        <v>613</v>
      </c>
      <c r="D49" s="8" t="s">
        <v>278</v>
      </c>
      <c r="E49" s="8" t="s">
        <v>141</v>
      </c>
      <c r="F49" s="8" t="s">
        <v>255</v>
      </c>
      <c r="G49" s="6" t="s">
        <v>39</v>
      </c>
      <c r="H49" s="6" t="s">
        <v>318</v>
      </c>
      <c r="I49" s="6" t="s">
        <v>106</v>
      </c>
      <c r="J49" s="15" t="s">
        <v>614</v>
      </c>
      <c r="K49" s="15" t="s">
        <v>615</v>
      </c>
      <c r="L49" s="16">
        <v>42.36</v>
      </c>
      <c r="M49" s="16">
        <v>52.21</v>
      </c>
      <c r="N49" s="15">
        <v>1.0</v>
      </c>
      <c r="O49" s="17">
        <f t="shared" si="1"/>
        <v>52.21</v>
      </c>
      <c r="P49" s="15" t="s">
        <v>39</v>
      </c>
      <c r="Q49" s="15" t="s">
        <v>67</v>
      </c>
      <c r="R49" s="15" t="s">
        <v>179</v>
      </c>
      <c r="S49" s="15" t="s">
        <v>616</v>
      </c>
      <c r="T49" s="15" t="s">
        <v>617</v>
      </c>
      <c r="U49" s="16">
        <v>42.36</v>
      </c>
      <c r="V49" s="16">
        <v>53.79</v>
      </c>
      <c r="W49" s="15">
        <v>1.0</v>
      </c>
      <c r="X49" s="17">
        <f t="shared" si="2"/>
        <v>53.79</v>
      </c>
      <c r="Y49" s="15" t="s">
        <v>44</v>
      </c>
      <c r="Z49" s="15" t="s">
        <v>67</v>
      </c>
      <c r="AA49" s="15" t="s">
        <v>179</v>
      </c>
      <c r="AB49" s="15" t="s">
        <v>618</v>
      </c>
      <c r="AC49" s="15" t="s">
        <v>619</v>
      </c>
      <c r="AD49" s="16">
        <v>42.36</v>
      </c>
      <c r="AE49" s="16">
        <v>40.47</v>
      </c>
      <c r="AF49" s="15">
        <v>1.0</v>
      </c>
      <c r="AG49" s="17">
        <f t="shared" si="3"/>
        <v>40.47</v>
      </c>
      <c r="AH49" s="15" t="s">
        <v>44</v>
      </c>
      <c r="AI49" s="15" t="s">
        <v>49</v>
      </c>
      <c r="AJ49" s="15" t="s">
        <v>53</v>
      </c>
      <c r="AK49" s="15" t="s">
        <v>620</v>
      </c>
      <c r="AL49" s="15" t="s">
        <v>621</v>
      </c>
      <c r="AM49" s="16">
        <v>42.36</v>
      </c>
      <c r="AN49" s="16">
        <v>43.03</v>
      </c>
      <c r="AO49" s="15">
        <v>1.0</v>
      </c>
      <c r="AP49" s="17">
        <f t="shared" si="4"/>
        <v>43.03</v>
      </c>
      <c r="AQ49" s="15" t="s">
        <v>44</v>
      </c>
      <c r="AR49" s="15" t="s">
        <v>67</v>
      </c>
      <c r="AS49" s="15" t="s">
        <v>179</v>
      </c>
      <c r="AT49" s="15" t="s">
        <v>120</v>
      </c>
      <c r="AU49" s="15" t="s">
        <v>106</v>
      </c>
    </row>
    <row r="50" ht="30.0" customHeight="1">
      <c r="A50" s="6" t="s">
        <v>622</v>
      </c>
      <c r="B50" s="8" t="s">
        <v>623</v>
      </c>
      <c r="C50" s="8" t="s">
        <v>624</v>
      </c>
      <c r="D50" s="8" t="s">
        <v>278</v>
      </c>
      <c r="E50" s="8" t="s">
        <v>37</v>
      </c>
      <c r="F50" s="8" t="s">
        <v>625</v>
      </c>
      <c r="G50" s="6" t="s">
        <v>39</v>
      </c>
      <c r="H50" s="6" t="s">
        <v>151</v>
      </c>
      <c r="I50" s="6" t="s">
        <v>106</v>
      </c>
      <c r="J50" s="15" t="s">
        <v>626</v>
      </c>
      <c r="K50" s="15" t="s">
        <v>627</v>
      </c>
      <c r="L50" s="16">
        <v>29.31</v>
      </c>
      <c r="M50" s="16">
        <v>34.32</v>
      </c>
      <c r="N50" s="15">
        <v>1.0</v>
      </c>
      <c r="O50" s="17">
        <f t="shared" si="1"/>
        <v>34.32</v>
      </c>
      <c r="P50" s="15" t="s">
        <v>44</v>
      </c>
      <c r="Q50" s="15" t="s">
        <v>49</v>
      </c>
      <c r="R50" s="15" t="s">
        <v>46</v>
      </c>
      <c r="S50" s="15" t="s">
        <v>628</v>
      </c>
      <c r="T50" s="15" t="s">
        <v>629</v>
      </c>
      <c r="U50" s="16">
        <v>29.31</v>
      </c>
      <c r="V50" s="16">
        <v>34.12</v>
      </c>
      <c r="W50" s="15">
        <v>1.0</v>
      </c>
      <c r="X50" s="17">
        <f t="shared" si="2"/>
        <v>34.12</v>
      </c>
      <c r="Y50" s="15" t="s">
        <v>44</v>
      </c>
      <c r="Z50" s="15" t="s">
        <v>45</v>
      </c>
      <c r="AA50" s="15" t="s">
        <v>179</v>
      </c>
      <c r="AB50" s="15" t="s">
        <v>630</v>
      </c>
      <c r="AC50" s="15" t="s">
        <v>631</v>
      </c>
      <c r="AD50" s="16">
        <v>29.31</v>
      </c>
      <c r="AE50" s="16">
        <v>38.04</v>
      </c>
      <c r="AF50" s="15">
        <v>12.0</v>
      </c>
      <c r="AG50" s="17">
        <f t="shared" si="3"/>
        <v>3.17</v>
      </c>
      <c r="AH50" s="15" t="s">
        <v>44</v>
      </c>
      <c r="AI50" s="15" t="s">
        <v>67</v>
      </c>
      <c r="AJ50" s="15" t="s">
        <v>73</v>
      </c>
      <c r="AK50" s="15" t="s">
        <v>632</v>
      </c>
      <c r="AL50" s="15" t="s">
        <v>633</v>
      </c>
      <c r="AM50" s="16">
        <v>29.31</v>
      </c>
      <c r="AN50" s="16">
        <v>33.23</v>
      </c>
      <c r="AO50" s="15">
        <v>1.0</v>
      </c>
      <c r="AP50" s="17">
        <f t="shared" si="4"/>
        <v>33.23</v>
      </c>
      <c r="AQ50" s="15" t="s">
        <v>44</v>
      </c>
      <c r="AR50" s="15" t="s">
        <v>45</v>
      </c>
      <c r="AS50" s="15" t="s">
        <v>179</v>
      </c>
      <c r="AT50" s="15" t="s">
        <v>57</v>
      </c>
      <c r="AU50" s="15" t="s">
        <v>106</v>
      </c>
    </row>
    <row r="51" ht="30.0" customHeight="1">
      <c r="A51" s="6" t="s">
        <v>634</v>
      </c>
      <c r="B51" s="8" t="s">
        <v>635</v>
      </c>
      <c r="C51" s="8" t="s">
        <v>636</v>
      </c>
      <c r="D51" s="8" t="s">
        <v>317</v>
      </c>
      <c r="E51" s="8" t="s">
        <v>162</v>
      </c>
      <c r="F51" s="8" t="s">
        <v>204</v>
      </c>
      <c r="G51" s="6" t="s">
        <v>39</v>
      </c>
      <c r="H51" s="6" t="s">
        <v>547</v>
      </c>
      <c r="I51" s="6" t="s">
        <v>41</v>
      </c>
      <c r="J51" s="15" t="s">
        <v>637</v>
      </c>
      <c r="K51" s="15" t="s">
        <v>638</v>
      </c>
      <c r="L51" s="16">
        <v>35.18</v>
      </c>
      <c r="M51" s="16">
        <v>38.41</v>
      </c>
      <c r="N51" s="15">
        <v>1.0</v>
      </c>
      <c r="O51" s="17">
        <f t="shared" si="1"/>
        <v>38.41</v>
      </c>
      <c r="P51" s="15" t="s">
        <v>44</v>
      </c>
      <c r="Q51" s="15" t="s">
        <v>109</v>
      </c>
      <c r="R51" s="15" t="s">
        <v>53</v>
      </c>
      <c r="S51" s="15" t="s">
        <v>639</v>
      </c>
      <c r="T51" s="15" t="s">
        <v>640</v>
      </c>
      <c r="U51" s="16">
        <v>35.18</v>
      </c>
      <c r="V51" s="16">
        <v>37.72</v>
      </c>
      <c r="W51" s="15">
        <v>1.0</v>
      </c>
      <c r="X51" s="17">
        <f t="shared" si="2"/>
        <v>37.72</v>
      </c>
      <c r="Y51" s="15" t="s">
        <v>44</v>
      </c>
      <c r="Z51" s="15" t="s">
        <v>89</v>
      </c>
      <c r="AA51" s="15" t="s">
        <v>70</v>
      </c>
      <c r="AB51" s="15" t="s">
        <v>641</v>
      </c>
      <c r="AC51" s="15" t="s">
        <v>642</v>
      </c>
      <c r="AD51" s="16">
        <v>35.18</v>
      </c>
      <c r="AE51" s="16">
        <v>41.7</v>
      </c>
      <c r="AF51" s="15">
        <v>1.0</v>
      </c>
      <c r="AG51" s="17">
        <f t="shared" si="3"/>
        <v>41.7</v>
      </c>
      <c r="AH51" s="15" t="s">
        <v>44</v>
      </c>
      <c r="AI51" s="15" t="s">
        <v>76</v>
      </c>
      <c r="AJ51" s="15" t="s">
        <v>115</v>
      </c>
      <c r="AK51" s="15" t="s">
        <v>643</v>
      </c>
      <c r="AL51" s="15" t="s">
        <v>644</v>
      </c>
      <c r="AM51" s="16">
        <v>35.18</v>
      </c>
      <c r="AN51" s="16">
        <v>42.41</v>
      </c>
      <c r="AO51" s="15">
        <v>5.0</v>
      </c>
      <c r="AP51" s="17">
        <f t="shared" si="4"/>
        <v>8.482</v>
      </c>
      <c r="AQ51" s="15" t="s">
        <v>44</v>
      </c>
      <c r="AR51" s="15" t="s">
        <v>89</v>
      </c>
      <c r="AS51" s="15" t="s">
        <v>50</v>
      </c>
      <c r="AT51" s="15" t="s">
        <v>120</v>
      </c>
      <c r="AU51" s="15" t="s">
        <v>41</v>
      </c>
    </row>
    <row r="52" ht="30.0" customHeight="1">
      <c r="A52" s="6" t="s">
        <v>645</v>
      </c>
      <c r="B52" s="8" t="s">
        <v>646</v>
      </c>
      <c r="C52" s="8" t="s">
        <v>647</v>
      </c>
      <c r="D52" s="8" t="s">
        <v>546</v>
      </c>
      <c r="E52" s="8" t="s">
        <v>81</v>
      </c>
      <c r="F52" s="8" t="s">
        <v>352</v>
      </c>
      <c r="G52" s="6" t="s">
        <v>44</v>
      </c>
      <c r="H52" s="6" t="s">
        <v>280</v>
      </c>
      <c r="I52" s="6" t="s">
        <v>106</v>
      </c>
      <c r="J52" s="15" t="s">
        <v>648</v>
      </c>
      <c r="K52" s="15" t="s">
        <v>649</v>
      </c>
      <c r="L52" s="16">
        <v>61.08</v>
      </c>
      <c r="M52" s="16">
        <v>63.37</v>
      </c>
      <c r="N52" s="15">
        <v>50.0</v>
      </c>
      <c r="O52" s="17">
        <f t="shared" si="1"/>
        <v>1.2674</v>
      </c>
      <c r="P52" s="15" t="s">
        <v>39</v>
      </c>
      <c r="Q52" s="15" t="s">
        <v>49</v>
      </c>
      <c r="R52" s="15" t="s">
        <v>70</v>
      </c>
      <c r="S52" s="15" t="s">
        <v>650</v>
      </c>
      <c r="T52" s="15" t="s">
        <v>651</v>
      </c>
      <c r="U52" s="16">
        <v>61.08</v>
      </c>
      <c r="V52" s="16">
        <v>62.76</v>
      </c>
      <c r="W52" s="15">
        <v>50.0</v>
      </c>
      <c r="X52" s="17">
        <f t="shared" si="2"/>
        <v>1.2552</v>
      </c>
      <c r="Y52" s="15" t="s">
        <v>44</v>
      </c>
      <c r="Z52" s="15" t="s">
        <v>100</v>
      </c>
      <c r="AA52" s="15" t="s">
        <v>50</v>
      </c>
      <c r="AB52" s="15" t="s">
        <v>652</v>
      </c>
      <c r="AC52" s="15" t="s">
        <v>653</v>
      </c>
      <c r="AD52" s="16">
        <v>61.08</v>
      </c>
      <c r="AE52" s="16">
        <v>69.01</v>
      </c>
      <c r="AF52" s="15">
        <v>50.0</v>
      </c>
      <c r="AG52" s="17">
        <f t="shared" si="3"/>
        <v>1.3802</v>
      </c>
      <c r="AH52" s="15" t="s">
        <v>44</v>
      </c>
      <c r="AI52" s="15" t="s">
        <v>76</v>
      </c>
      <c r="AJ52" s="15" t="s">
        <v>56</v>
      </c>
      <c r="AK52" s="15" t="s">
        <v>654</v>
      </c>
      <c r="AL52" s="15" t="s">
        <v>655</v>
      </c>
      <c r="AM52" s="16">
        <v>61.08</v>
      </c>
      <c r="AN52" s="16">
        <v>76.94</v>
      </c>
      <c r="AO52" s="15">
        <v>50.0</v>
      </c>
      <c r="AP52" s="17">
        <f t="shared" si="4"/>
        <v>1.5388</v>
      </c>
      <c r="AQ52" s="15" t="s">
        <v>39</v>
      </c>
      <c r="AR52" s="15" t="s">
        <v>49</v>
      </c>
      <c r="AS52" s="15" t="s">
        <v>53</v>
      </c>
      <c r="AT52" s="15" t="s">
        <v>155</v>
      </c>
      <c r="AU52" s="15" t="s">
        <v>106</v>
      </c>
    </row>
    <row r="53" ht="30.0" customHeight="1">
      <c r="A53" s="6" t="s">
        <v>656</v>
      </c>
      <c r="B53" s="8" t="s">
        <v>657</v>
      </c>
      <c r="C53" s="8" t="s">
        <v>658</v>
      </c>
      <c r="D53" s="8" t="s">
        <v>105</v>
      </c>
      <c r="E53" s="8" t="s">
        <v>141</v>
      </c>
      <c r="F53" s="8" t="s">
        <v>172</v>
      </c>
      <c r="G53" s="6" t="s">
        <v>44</v>
      </c>
      <c r="H53" s="6" t="s">
        <v>280</v>
      </c>
      <c r="I53" s="6" t="s">
        <v>106</v>
      </c>
      <c r="J53" s="15" t="s">
        <v>659</v>
      </c>
      <c r="K53" s="15" t="s">
        <v>660</v>
      </c>
      <c r="L53" s="16">
        <v>32.01</v>
      </c>
      <c r="M53" s="16">
        <v>32.05</v>
      </c>
      <c r="N53" s="15">
        <v>24.0</v>
      </c>
      <c r="O53" s="17">
        <f t="shared" si="1"/>
        <v>1.335416667</v>
      </c>
      <c r="P53" s="15" t="s">
        <v>44</v>
      </c>
      <c r="Q53" s="15" t="s">
        <v>67</v>
      </c>
      <c r="R53" s="15" t="s">
        <v>56</v>
      </c>
      <c r="S53" s="15" t="s">
        <v>661</v>
      </c>
      <c r="T53" s="15" t="s">
        <v>662</v>
      </c>
      <c r="U53" s="16">
        <v>32.01</v>
      </c>
      <c r="V53" s="16">
        <v>35.08</v>
      </c>
      <c r="W53" s="15">
        <v>24.0</v>
      </c>
      <c r="X53" s="17">
        <f t="shared" si="2"/>
        <v>1.461666667</v>
      </c>
      <c r="Y53" s="15" t="s">
        <v>44</v>
      </c>
      <c r="Z53" s="15" t="s">
        <v>49</v>
      </c>
      <c r="AA53" s="15" t="s">
        <v>73</v>
      </c>
      <c r="AB53" s="15" t="s">
        <v>663</v>
      </c>
      <c r="AC53" s="15" t="s">
        <v>664</v>
      </c>
      <c r="AD53" s="16">
        <v>32.01</v>
      </c>
      <c r="AE53" s="16">
        <v>40.28</v>
      </c>
      <c r="AF53" s="15">
        <v>50.0</v>
      </c>
      <c r="AG53" s="17">
        <f t="shared" si="3"/>
        <v>0.8056</v>
      </c>
      <c r="AH53" s="15" t="s">
        <v>44</v>
      </c>
      <c r="AI53" s="15" t="s">
        <v>89</v>
      </c>
      <c r="AJ53" s="15" t="s">
        <v>70</v>
      </c>
      <c r="AK53" s="15" t="s">
        <v>665</v>
      </c>
      <c r="AL53" s="15" t="s">
        <v>666</v>
      </c>
      <c r="AM53" s="16">
        <v>32.01</v>
      </c>
      <c r="AN53" s="16">
        <v>35.76</v>
      </c>
      <c r="AO53" s="15">
        <v>50.0</v>
      </c>
      <c r="AP53" s="17">
        <f t="shared" si="4"/>
        <v>0.7152</v>
      </c>
      <c r="AQ53" s="15" t="s">
        <v>39</v>
      </c>
      <c r="AR53" s="15" t="s">
        <v>89</v>
      </c>
      <c r="AS53" s="15" t="s">
        <v>70</v>
      </c>
      <c r="AT53" s="15" t="s">
        <v>155</v>
      </c>
      <c r="AU53" s="15" t="s">
        <v>106</v>
      </c>
    </row>
    <row r="54" ht="30.0" customHeight="1">
      <c r="A54" s="6" t="s">
        <v>667</v>
      </c>
      <c r="B54" s="8" t="s">
        <v>668</v>
      </c>
      <c r="C54" s="8" t="s">
        <v>669</v>
      </c>
      <c r="D54" s="8" t="s">
        <v>61</v>
      </c>
      <c r="E54" s="8" t="s">
        <v>126</v>
      </c>
      <c r="F54" s="8" t="s">
        <v>670</v>
      </c>
      <c r="G54" s="6" t="s">
        <v>44</v>
      </c>
      <c r="H54" s="6" t="s">
        <v>570</v>
      </c>
      <c r="I54" s="6" t="s">
        <v>106</v>
      </c>
      <c r="J54" s="15" t="s">
        <v>671</v>
      </c>
      <c r="K54" s="15" t="s">
        <v>672</v>
      </c>
      <c r="L54" s="16">
        <v>12.84</v>
      </c>
      <c r="M54" s="16">
        <v>14.42</v>
      </c>
      <c r="N54" s="15">
        <v>1.0</v>
      </c>
      <c r="O54" s="17">
        <f t="shared" si="1"/>
        <v>14.42</v>
      </c>
      <c r="P54" s="15" t="s">
        <v>44</v>
      </c>
      <c r="Q54" s="15" t="s">
        <v>45</v>
      </c>
      <c r="R54" s="15" t="s">
        <v>73</v>
      </c>
      <c r="S54" s="15" t="s">
        <v>673</v>
      </c>
      <c r="T54" s="15" t="s">
        <v>674</v>
      </c>
      <c r="U54" s="16">
        <v>12.84</v>
      </c>
      <c r="V54" s="16">
        <v>15.51</v>
      </c>
      <c r="W54" s="15">
        <v>5.0</v>
      </c>
      <c r="X54" s="17">
        <f t="shared" si="2"/>
        <v>3.102</v>
      </c>
      <c r="Y54" s="15" t="s">
        <v>39</v>
      </c>
      <c r="Z54" s="15" t="s">
        <v>45</v>
      </c>
      <c r="AA54" s="15" t="s">
        <v>135</v>
      </c>
      <c r="AB54" s="15" t="s">
        <v>675</v>
      </c>
      <c r="AC54" s="15" t="s">
        <v>676</v>
      </c>
      <c r="AD54" s="16">
        <v>12.84</v>
      </c>
      <c r="AE54" s="16">
        <v>14.03</v>
      </c>
      <c r="AF54" s="15">
        <v>1.0</v>
      </c>
      <c r="AG54" s="17">
        <f t="shared" si="3"/>
        <v>14.03</v>
      </c>
      <c r="AH54" s="15" t="s">
        <v>44</v>
      </c>
      <c r="AI54" s="15" t="s">
        <v>89</v>
      </c>
      <c r="AJ54" s="15" t="s">
        <v>73</v>
      </c>
      <c r="AK54" s="15" t="s">
        <v>677</v>
      </c>
      <c r="AL54" s="15" t="s">
        <v>678</v>
      </c>
      <c r="AM54" s="16">
        <v>12.84</v>
      </c>
      <c r="AN54" s="16">
        <v>15.26</v>
      </c>
      <c r="AO54" s="15">
        <v>1.0</v>
      </c>
      <c r="AP54" s="17">
        <f t="shared" si="4"/>
        <v>15.26</v>
      </c>
      <c r="AQ54" s="15" t="s">
        <v>44</v>
      </c>
      <c r="AR54" s="15" t="s">
        <v>49</v>
      </c>
      <c r="AS54" s="15" t="s">
        <v>53</v>
      </c>
      <c r="AT54" s="15" t="s">
        <v>57</v>
      </c>
      <c r="AU54" s="15" t="s">
        <v>106</v>
      </c>
    </row>
    <row r="55" ht="30.0" customHeight="1">
      <c r="A55" s="6" t="s">
        <v>679</v>
      </c>
      <c r="B55" s="8" t="s">
        <v>680</v>
      </c>
      <c r="C55" s="8" t="s">
        <v>681</v>
      </c>
      <c r="D55" s="8" t="s">
        <v>80</v>
      </c>
      <c r="E55" s="8" t="s">
        <v>62</v>
      </c>
      <c r="F55" s="8" t="s">
        <v>523</v>
      </c>
      <c r="G55" s="6" t="s">
        <v>44</v>
      </c>
      <c r="H55" s="6" t="s">
        <v>40</v>
      </c>
      <c r="I55" s="6" t="s">
        <v>41</v>
      </c>
      <c r="J55" s="15" t="s">
        <v>682</v>
      </c>
      <c r="K55" s="15" t="s">
        <v>683</v>
      </c>
      <c r="L55" s="16">
        <v>20.89</v>
      </c>
      <c r="M55" s="16">
        <v>25.7</v>
      </c>
      <c r="N55" s="15">
        <v>10.0</v>
      </c>
      <c r="O55" s="17">
        <f t="shared" si="1"/>
        <v>2.57</v>
      </c>
      <c r="P55" s="15" t="s">
        <v>44</v>
      </c>
      <c r="Q55" s="15" t="s">
        <v>89</v>
      </c>
      <c r="R55" s="15" t="s">
        <v>70</v>
      </c>
      <c r="S55" s="15" t="s">
        <v>684</v>
      </c>
      <c r="T55" s="15" t="s">
        <v>685</v>
      </c>
      <c r="U55" s="16">
        <v>20.89</v>
      </c>
      <c r="V55" s="16">
        <v>22.92</v>
      </c>
      <c r="W55" s="15">
        <v>10.0</v>
      </c>
      <c r="X55" s="17">
        <f t="shared" si="2"/>
        <v>2.292</v>
      </c>
      <c r="Y55" s="15" t="s">
        <v>44</v>
      </c>
      <c r="Z55" s="15" t="s">
        <v>76</v>
      </c>
      <c r="AA55" s="15" t="s">
        <v>94</v>
      </c>
      <c r="AB55" s="15" t="s">
        <v>686</v>
      </c>
      <c r="AC55" s="15" t="s">
        <v>687</v>
      </c>
      <c r="AD55" s="16">
        <v>20.89</v>
      </c>
      <c r="AE55" s="16">
        <v>23.51</v>
      </c>
      <c r="AF55" s="15">
        <v>10.0</v>
      </c>
      <c r="AG55" s="17">
        <f t="shared" si="3"/>
        <v>2.351</v>
      </c>
      <c r="AH55" s="15" t="s">
        <v>39</v>
      </c>
      <c r="AI55" s="15" t="s">
        <v>89</v>
      </c>
      <c r="AJ55" s="15" t="s">
        <v>179</v>
      </c>
      <c r="AK55" s="15" t="s">
        <v>688</v>
      </c>
      <c r="AL55" s="15" t="s">
        <v>689</v>
      </c>
      <c r="AM55" s="16">
        <v>20.89</v>
      </c>
      <c r="AN55" s="16">
        <v>20.58</v>
      </c>
      <c r="AO55" s="15">
        <v>25.0</v>
      </c>
      <c r="AP55" s="17">
        <f t="shared" si="4"/>
        <v>0.8232</v>
      </c>
      <c r="AQ55" s="15" t="s">
        <v>39</v>
      </c>
      <c r="AR55" s="15" t="s">
        <v>76</v>
      </c>
      <c r="AS55" s="15" t="s">
        <v>73</v>
      </c>
      <c r="AT55" s="15" t="s">
        <v>155</v>
      </c>
      <c r="AU55" s="15" t="s">
        <v>41</v>
      </c>
    </row>
    <row r="56" ht="30.0" customHeight="1">
      <c r="A56" s="6" t="s">
        <v>690</v>
      </c>
      <c r="B56" s="8" t="s">
        <v>691</v>
      </c>
      <c r="C56" s="8" t="s">
        <v>692</v>
      </c>
      <c r="D56" s="8" t="s">
        <v>242</v>
      </c>
      <c r="E56" s="8" t="s">
        <v>126</v>
      </c>
      <c r="F56" s="8" t="s">
        <v>693</v>
      </c>
      <c r="G56" s="6" t="s">
        <v>44</v>
      </c>
      <c r="H56" s="6" t="s">
        <v>694</v>
      </c>
      <c r="I56" s="6" t="s">
        <v>41</v>
      </c>
      <c r="J56" s="15" t="s">
        <v>695</v>
      </c>
      <c r="K56" s="15" t="s">
        <v>696</v>
      </c>
      <c r="L56" s="16">
        <v>33.8</v>
      </c>
      <c r="M56" s="16">
        <v>35.23</v>
      </c>
      <c r="N56" s="15">
        <v>1.0</v>
      </c>
      <c r="O56" s="17">
        <f t="shared" si="1"/>
        <v>35.23</v>
      </c>
      <c r="P56" s="15" t="s">
        <v>44</v>
      </c>
      <c r="Q56" s="15" t="s">
        <v>100</v>
      </c>
      <c r="R56" s="15" t="s">
        <v>46</v>
      </c>
      <c r="S56" s="15" t="s">
        <v>697</v>
      </c>
      <c r="T56" s="15" t="s">
        <v>698</v>
      </c>
      <c r="U56" s="16">
        <v>33.8</v>
      </c>
      <c r="V56" s="16">
        <v>45.06</v>
      </c>
      <c r="W56" s="15">
        <v>1.0</v>
      </c>
      <c r="X56" s="17">
        <f t="shared" si="2"/>
        <v>45.06</v>
      </c>
      <c r="Y56" s="15" t="s">
        <v>44</v>
      </c>
      <c r="Z56" s="15" t="s">
        <v>109</v>
      </c>
      <c r="AA56" s="15" t="s">
        <v>73</v>
      </c>
      <c r="AB56" s="15" t="s">
        <v>699</v>
      </c>
      <c r="AC56" s="15" t="s">
        <v>700</v>
      </c>
      <c r="AD56" s="16">
        <v>33.8</v>
      </c>
      <c r="AE56" s="16">
        <v>39.28</v>
      </c>
      <c r="AF56" s="15">
        <v>1.0</v>
      </c>
      <c r="AG56" s="17">
        <f t="shared" si="3"/>
        <v>39.28</v>
      </c>
      <c r="AH56" s="15" t="s">
        <v>39</v>
      </c>
      <c r="AI56" s="15" t="s">
        <v>89</v>
      </c>
      <c r="AJ56" s="15" t="s">
        <v>179</v>
      </c>
      <c r="AK56" s="15" t="s">
        <v>701</v>
      </c>
      <c r="AL56" s="15" t="s">
        <v>702</v>
      </c>
      <c r="AM56" s="16">
        <v>33.8</v>
      </c>
      <c r="AN56" s="16">
        <v>39.28</v>
      </c>
      <c r="AO56" s="15">
        <v>1.0</v>
      </c>
      <c r="AP56" s="17">
        <f t="shared" si="4"/>
        <v>39.28</v>
      </c>
      <c r="AQ56" s="15" t="s">
        <v>39</v>
      </c>
      <c r="AR56" s="15" t="s">
        <v>76</v>
      </c>
      <c r="AS56" s="15" t="s">
        <v>50</v>
      </c>
      <c r="AT56" s="15" t="s">
        <v>155</v>
      </c>
      <c r="AU56" s="15" t="s">
        <v>41</v>
      </c>
    </row>
    <row r="57" ht="30.0" customHeight="1">
      <c r="A57" s="6" t="s">
        <v>703</v>
      </c>
      <c r="B57" s="8" t="s">
        <v>704</v>
      </c>
      <c r="C57" s="8" t="s">
        <v>705</v>
      </c>
      <c r="D57" s="8" t="s">
        <v>61</v>
      </c>
      <c r="E57" s="8" t="s">
        <v>154</v>
      </c>
      <c r="F57" s="8" t="s">
        <v>706</v>
      </c>
      <c r="G57" s="6" t="s">
        <v>44</v>
      </c>
      <c r="H57" s="6" t="s">
        <v>386</v>
      </c>
      <c r="I57" s="6" t="s">
        <v>106</v>
      </c>
      <c r="J57" s="15" t="s">
        <v>707</v>
      </c>
      <c r="K57" s="15" t="s">
        <v>708</v>
      </c>
      <c r="L57" s="16">
        <v>21.59</v>
      </c>
      <c r="M57" s="16">
        <v>24.6</v>
      </c>
      <c r="N57" s="15">
        <v>24.0</v>
      </c>
      <c r="O57" s="17">
        <f t="shared" si="1"/>
        <v>1.025</v>
      </c>
      <c r="P57" s="15" t="s">
        <v>39</v>
      </c>
      <c r="Q57" s="15" t="s">
        <v>76</v>
      </c>
      <c r="R57" s="15" t="s">
        <v>70</v>
      </c>
      <c r="S57" s="15" t="s">
        <v>709</v>
      </c>
      <c r="T57" s="15" t="s">
        <v>710</v>
      </c>
      <c r="U57" s="16">
        <v>21.59</v>
      </c>
      <c r="V57" s="16">
        <v>29.1</v>
      </c>
      <c r="W57" s="15">
        <v>24.0</v>
      </c>
      <c r="X57" s="17">
        <f t="shared" si="2"/>
        <v>1.2125</v>
      </c>
      <c r="Y57" s="15" t="s">
        <v>44</v>
      </c>
      <c r="Z57" s="15" t="s">
        <v>89</v>
      </c>
      <c r="AA57" s="15" t="s">
        <v>56</v>
      </c>
      <c r="AB57" s="15" t="s">
        <v>711</v>
      </c>
      <c r="AC57" s="15" t="s">
        <v>712</v>
      </c>
      <c r="AD57" s="16">
        <v>21.59</v>
      </c>
      <c r="AE57" s="16">
        <v>23.22</v>
      </c>
      <c r="AF57" s="15">
        <v>24.0</v>
      </c>
      <c r="AG57" s="17">
        <f t="shared" si="3"/>
        <v>0.9675</v>
      </c>
      <c r="AH57" s="15" t="s">
        <v>44</v>
      </c>
      <c r="AI57" s="15" t="s">
        <v>45</v>
      </c>
      <c r="AJ57" s="15" t="s">
        <v>94</v>
      </c>
      <c r="AK57" s="15" t="s">
        <v>713</v>
      </c>
      <c r="AL57" s="15" t="s">
        <v>714</v>
      </c>
      <c r="AM57" s="16">
        <v>21.59</v>
      </c>
      <c r="AN57" s="16">
        <v>25.52</v>
      </c>
      <c r="AO57" s="15">
        <v>50.0</v>
      </c>
      <c r="AP57" s="17">
        <f t="shared" si="4"/>
        <v>0.5104</v>
      </c>
      <c r="AQ57" s="15" t="s">
        <v>44</v>
      </c>
      <c r="AR57" s="15" t="s">
        <v>45</v>
      </c>
      <c r="AS57" s="15" t="s">
        <v>56</v>
      </c>
      <c r="AT57" s="15" t="s">
        <v>155</v>
      </c>
      <c r="AU57" s="15" t="s">
        <v>106</v>
      </c>
    </row>
    <row r="58" ht="30.0" customHeight="1">
      <c r="A58" s="6" t="s">
        <v>715</v>
      </c>
      <c r="B58" s="8" t="s">
        <v>716</v>
      </c>
      <c r="C58" s="8" t="s">
        <v>522</v>
      </c>
      <c r="D58" s="8" t="s">
        <v>105</v>
      </c>
      <c r="E58" s="8" t="s">
        <v>162</v>
      </c>
      <c r="F58" s="8" t="s">
        <v>204</v>
      </c>
      <c r="G58" s="6" t="s">
        <v>39</v>
      </c>
      <c r="H58" s="6" t="s">
        <v>559</v>
      </c>
      <c r="I58" s="6" t="s">
        <v>106</v>
      </c>
      <c r="J58" s="15" t="s">
        <v>717</v>
      </c>
      <c r="K58" s="15" t="s">
        <v>718</v>
      </c>
      <c r="L58" s="16">
        <v>32.09</v>
      </c>
      <c r="M58" s="16">
        <v>37.47</v>
      </c>
      <c r="N58" s="15">
        <v>50.0</v>
      </c>
      <c r="O58" s="17">
        <f t="shared" si="1"/>
        <v>0.7494</v>
      </c>
      <c r="P58" s="15" t="s">
        <v>39</v>
      </c>
      <c r="Q58" s="15" t="s">
        <v>89</v>
      </c>
      <c r="R58" s="15" t="s">
        <v>135</v>
      </c>
      <c r="S58" s="15" t="s">
        <v>719</v>
      </c>
      <c r="T58" s="15" t="s">
        <v>720</v>
      </c>
      <c r="U58" s="16">
        <v>32.09</v>
      </c>
      <c r="V58" s="16">
        <v>39.86</v>
      </c>
      <c r="W58" s="15">
        <v>10.0</v>
      </c>
      <c r="X58" s="17">
        <f t="shared" si="2"/>
        <v>3.986</v>
      </c>
      <c r="Y58" s="15" t="s">
        <v>39</v>
      </c>
      <c r="Z58" s="15" t="s">
        <v>109</v>
      </c>
      <c r="AA58" s="15" t="s">
        <v>115</v>
      </c>
      <c r="AB58" s="15" t="s">
        <v>721</v>
      </c>
      <c r="AC58" s="15" t="s">
        <v>722</v>
      </c>
      <c r="AD58" s="16">
        <v>32.09</v>
      </c>
      <c r="AE58" s="16">
        <v>36.09</v>
      </c>
      <c r="AF58" s="15">
        <v>10.0</v>
      </c>
      <c r="AG58" s="17">
        <f t="shared" si="3"/>
        <v>3.609</v>
      </c>
      <c r="AH58" s="15" t="s">
        <v>39</v>
      </c>
      <c r="AI58" s="15" t="s">
        <v>45</v>
      </c>
      <c r="AJ58" s="15" t="s">
        <v>70</v>
      </c>
      <c r="AK58" s="15" t="s">
        <v>723</v>
      </c>
      <c r="AL58" s="15" t="s">
        <v>724</v>
      </c>
      <c r="AM58" s="16">
        <v>32.09</v>
      </c>
      <c r="AN58" s="16">
        <v>38.5</v>
      </c>
      <c r="AO58" s="15">
        <v>50.0</v>
      </c>
      <c r="AP58" s="17">
        <f t="shared" si="4"/>
        <v>0.77</v>
      </c>
      <c r="AQ58" s="15" t="s">
        <v>44</v>
      </c>
      <c r="AR58" s="15" t="s">
        <v>67</v>
      </c>
      <c r="AS58" s="15" t="s">
        <v>115</v>
      </c>
      <c r="AT58" s="15" t="s">
        <v>57</v>
      </c>
      <c r="AU58" s="15" t="s">
        <v>106</v>
      </c>
    </row>
    <row r="59" ht="30.0" customHeight="1">
      <c r="A59" s="6" t="s">
        <v>725</v>
      </c>
      <c r="B59" s="8" t="s">
        <v>726</v>
      </c>
      <c r="C59" s="8" t="s">
        <v>727</v>
      </c>
      <c r="D59" s="8" t="s">
        <v>317</v>
      </c>
      <c r="E59" s="8" t="s">
        <v>166</v>
      </c>
      <c r="F59" s="8" t="s">
        <v>432</v>
      </c>
      <c r="G59" s="6" t="s">
        <v>39</v>
      </c>
      <c r="H59" s="6" t="s">
        <v>173</v>
      </c>
      <c r="I59" s="6" t="s">
        <v>41</v>
      </c>
      <c r="J59" s="15" t="s">
        <v>728</v>
      </c>
      <c r="K59" s="15" t="s">
        <v>729</v>
      </c>
      <c r="L59" s="16">
        <v>72.81</v>
      </c>
      <c r="M59" s="16">
        <v>93.01</v>
      </c>
      <c r="N59" s="15">
        <v>1.0</v>
      </c>
      <c r="O59" s="17">
        <f t="shared" si="1"/>
        <v>93.01</v>
      </c>
      <c r="P59" s="15" t="s">
        <v>44</v>
      </c>
      <c r="Q59" s="15" t="s">
        <v>89</v>
      </c>
      <c r="R59" s="15" t="s">
        <v>94</v>
      </c>
      <c r="S59" s="15" t="s">
        <v>730</v>
      </c>
      <c r="T59" s="15" t="s">
        <v>731</v>
      </c>
      <c r="U59" s="16">
        <v>72.81</v>
      </c>
      <c r="V59" s="16">
        <v>79.09</v>
      </c>
      <c r="W59" s="15">
        <v>1.0</v>
      </c>
      <c r="X59" s="17">
        <f t="shared" si="2"/>
        <v>79.09</v>
      </c>
      <c r="Y59" s="15" t="s">
        <v>44</v>
      </c>
      <c r="Z59" s="15" t="s">
        <v>89</v>
      </c>
      <c r="AA59" s="15" t="s">
        <v>56</v>
      </c>
      <c r="AB59" s="15" t="s">
        <v>732</v>
      </c>
      <c r="AC59" s="15" t="s">
        <v>733</v>
      </c>
      <c r="AD59" s="16">
        <v>72.81</v>
      </c>
      <c r="AE59" s="16">
        <v>80.42</v>
      </c>
      <c r="AF59" s="15">
        <v>1.0</v>
      </c>
      <c r="AG59" s="17">
        <f t="shared" si="3"/>
        <v>80.42</v>
      </c>
      <c r="AH59" s="15" t="s">
        <v>44</v>
      </c>
      <c r="AI59" s="15" t="s">
        <v>67</v>
      </c>
      <c r="AJ59" s="15" t="s">
        <v>73</v>
      </c>
      <c r="AK59" s="15" t="s">
        <v>734</v>
      </c>
      <c r="AL59" s="15" t="s">
        <v>735</v>
      </c>
      <c r="AM59" s="16">
        <v>72.81</v>
      </c>
      <c r="AN59" s="16">
        <v>91.49</v>
      </c>
      <c r="AO59" s="15">
        <v>1.0</v>
      </c>
      <c r="AP59" s="17">
        <f t="shared" si="4"/>
        <v>91.49</v>
      </c>
      <c r="AQ59" s="15" t="s">
        <v>44</v>
      </c>
      <c r="AR59" s="15" t="s">
        <v>89</v>
      </c>
      <c r="AS59" s="15" t="s">
        <v>135</v>
      </c>
      <c r="AT59" s="15" t="s">
        <v>57</v>
      </c>
      <c r="AU59" s="15" t="s">
        <v>41</v>
      </c>
    </row>
    <row r="60" ht="30.0" customHeight="1">
      <c r="A60" s="6" t="s">
        <v>736</v>
      </c>
      <c r="B60" s="8" t="s">
        <v>737</v>
      </c>
      <c r="C60" s="8" t="s">
        <v>738</v>
      </c>
      <c r="D60" s="8" t="s">
        <v>105</v>
      </c>
      <c r="E60" s="8" t="s">
        <v>141</v>
      </c>
      <c r="F60" s="8" t="s">
        <v>231</v>
      </c>
      <c r="G60" s="6" t="s">
        <v>39</v>
      </c>
      <c r="H60" s="6" t="s">
        <v>305</v>
      </c>
      <c r="I60" s="6" t="s">
        <v>41</v>
      </c>
      <c r="J60" s="15" t="s">
        <v>739</v>
      </c>
      <c r="K60" s="15" t="s">
        <v>740</v>
      </c>
      <c r="L60" s="16">
        <v>77.76</v>
      </c>
      <c r="M60" s="16">
        <v>77.48</v>
      </c>
      <c r="N60" s="15">
        <v>1.0</v>
      </c>
      <c r="O60" s="17">
        <f t="shared" si="1"/>
        <v>77.48</v>
      </c>
      <c r="P60" s="15" t="s">
        <v>44</v>
      </c>
      <c r="Q60" s="15" t="s">
        <v>49</v>
      </c>
      <c r="R60" s="15" t="s">
        <v>73</v>
      </c>
      <c r="S60" s="15" t="s">
        <v>741</v>
      </c>
      <c r="T60" s="15" t="s">
        <v>742</v>
      </c>
      <c r="U60" s="16">
        <v>77.76</v>
      </c>
      <c r="V60" s="16">
        <v>99.69</v>
      </c>
      <c r="W60" s="15">
        <v>1.0</v>
      </c>
      <c r="X60" s="17">
        <f t="shared" si="2"/>
        <v>99.69</v>
      </c>
      <c r="Y60" s="15" t="s">
        <v>39</v>
      </c>
      <c r="Z60" s="15" t="s">
        <v>89</v>
      </c>
      <c r="AA60" s="15" t="s">
        <v>115</v>
      </c>
      <c r="AB60" s="15" t="s">
        <v>743</v>
      </c>
      <c r="AC60" s="15" t="s">
        <v>744</v>
      </c>
      <c r="AD60" s="16">
        <v>77.76</v>
      </c>
      <c r="AE60" s="16">
        <v>77.1</v>
      </c>
      <c r="AF60" s="15">
        <v>10.0</v>
      </c>
      <c r="AG60" s="17">
        <f t="shared" si="3"/>
        <v>7.71</v>
      </c>
      <c r="AH60" s="15" t="s">
        <v>44</v>
      </c>
      <c r="AI60" s="15" t="s">
        <v>45</v>
      </c>
      <c r="AJ60" s="15" t="s">
        <v>46</v>
      </c>
      <c r="AK60" s="15" t="s">
        <v>745</v>
      </c>
      <c r="AL60" s="15" t="s">
        <v>746</v>
      </c>
      <c r="AM60" s="16">
        <v>77.76</v>
      </c>
      <c r="AN60" s="16">
        <v>78.86</v>
      </c>
      <c r="AO60" s="15">
        <v>1.0</v>
      </c>
      <c r="AP60" s="17">
        <f t="shared" si="4"/>
        <v>78.86</v>
      </c>
      <c r="AQ60" s="15" t="s">
        <v>44</v>
      </c>
      <c r="AR60" s="15" t="s">
        <v>109</v>
      </c>
      <c r="AS60" s="15" t="s">
        <v>115</v>
      </c>
      <c r="AT60" s="15" t="s">
        <v>57</v>
      </c>
      <c r="AU60" s="15" t="s">
        <v>41</v>
      </c>
    </row>
    <row r="61" ht="30.0" customHeight="1">
      <c r="A61" s="6" t="s">
        <v>747</v>
      </c>
      <c r="B61" s="8" t="s">
        <v>748</v>
      </c>
      <c r="C61" s="8" t="s">
        <v>749</v>
      </c>
      <c r="D61" s="8" t="s">
        <v>191</v>
      </c>
      <c r="E61" s="8" t="s">
        <v>81</v>
      </c>
      <c r="F61" s="8" t="s">
        <v>82</v>
      </c>
      <c r="G61" s="6" t="s">
        <v>39</v>
      </c>
      <c r="H61" s="6" t="s">
        <v>750</v>
      </c>
      <c r="I61" s="6" t="s">
        <v>106</v>
      </c>
      <c r="J61" s="15" t="s">
        <v>751</v>
      </c>
      <c r="K61" s="15" t="s">
        <v>752</v>
      </c>
      <c r="L61" s="16">
        <v>37.98</v>
      </c>
      <c r="M61" s="16">
        <v>42.63</v>
      </c>
      <c r="N61" s="15">
        <v>10.0</v>
      </c>
      <c r="O61" s="17">
        <f t="shared" si="1"/>
        <v>4.263</v>
      </c>
      <c r="P61" s="15" t="s">
        <v>44</v>
      </c>
      <c r="Q61" s="15" t="s">
        <v>76</v>
      </c>
      <c r="R61" s="15" t="s">
        <v>46</v>
      </c>
      <c r="S61" s="15" t="s">
        <v>753</v>
      </c>
      <c r="T61" s="15" t="s">
        <v>754</v>
      </c>
      <c r="U61" s="16">
        <v>37.98</v>
      </c>
      <c r="V61" s="16">
        <v>50.08</v>
      </c>
      <c r="W61" s="15">
        <v>10.0</v>
      </c>
      <c r="X61" s="17">
        <f t="shared" si="2"/>
        <v>5.008</v>
      </c>
      <c r="Y61" s="15" t="s">
        <v>44</v>
      </c>
      <c r="Z61" s="15" t="s">
        <v>89</v>
      </c>
      <c r="AA61" s="15" t="s">
        <v>135</v>
      </c>
      <c r="AB61" s="15" t="s">
        <v>755</v>
      </c>
      <c r="AC61" s="15" t="s">
        <v>756</v>
      </c>
      <c r="AD61" s="16">
        <v>37.98</v>
      </c>
      <c r="AE61" s="16">
        <v>50.25</v>
      </c>
      <c r="AF61" s="15">
        <v>10.0</v>
      </c>
      <c r="AG61" s="17">
        <f t="shared" si="3"/>
        <v>5.025</v>
      </c>
      <c r="AH61" s="15" t="s">
        <v>44</v>
      </c>
      <c r="AI61" s="15" t="s">
        <v>67</v>
      </c>
      <c r="AJ61" s="15" t="s">
        <v>94</v>
      </c>
      <c r="AK61" s="15" t="s">
        <v>757</v>
      </c>
      <c r="AL61" s="15" t="s">
        <v>758</v>
      </c>
      <c r="AM61" s="16">
        <v>37.98</v>
      </c>
      <c r="AN61" s="16">
        <v>45.83</v>
      </c>
      <c r="AO61" s="15">
        <v>1.0</v>
      </c>
      <c r="AP61" s="17">
        <f t="shared" si="4"/>
        <v>45.83</v>
      </c>
      <c r="AQ61" s="15" t="s">
        <v>44</v>
      </c>
      <c r="AR61" s="15" t="s">
        <v>109</v>
      </c>
      <c r="AS61" s="15" t="s">
        <v>73</v>
      </c>
      <c r="AT61" s="15" t="s">
        <v>155</v>
      </c>
      <c r="AU61" s="15" t="s">
        <v>106</v>
      </c>
    </row>
    <row r="62" ht="30.0" customHeight="1">
      <c r="A62" s="6" t="s">
        <v>759</v>
      </c>
      <c r="B62" s="8" t="s">
        <v>253</v>
      </c>
      <c r="C62" s="8" t="s">
        <v>760</v>
      </c>
      <c r="D62" s="8" t="s">
        <v>317</v>
      </c>
      <c r="E62" s="8" t="s">
        <v>141</v>
      </c>
      <c r="F62" s="8" t="s">
        <v>172</v>
      </c>
      <c r="G62" s="6" t="s">
        <v>39</v>
      </c>
      <c r="H62" s="6" t="s">
        <v>570</v>
      </c>
      <c r="I62" s="6" t="s">
        <v>41</v>
      </c>
      <c r="J62" s="15" t="s">
        <v>761</v>
      </c>
      <c r="K62" s="15" t="s">
        <v>762</v>
      </c>
      <c r="L62" s="16">
        <v>75.92</v>
      </c>
      <c r="M62" s="16">
        <v>88.82</v>
      </c>
      <c r="N62" s="15">
        <v>1.0</v>
      </c>
      <c r="O62" s="17">
        <f t="shared" si="1"/>
        <v>88.82</v>
      </c>
      <c r="P62" s="15" t="s">
        <v>44</v>
      </c>
      <c r="Q62" s="15" t="s">
        <v>89</v>
      </c>
      <c r="R62" s="15" t="s">
        <v>46</v>
      </c>
      <c r="S62" s="15" t="s">
        <v>763</v>
      </c>
      <c r="T62" s="15" t="s">
        <v>764</v>
      </c>
      <c r="U62" s="16">
        <v>75.92</v>
      </c>
      <c r="V62" s="16">
        <v>105.05</v>
      </c>
      <c r="W62" s="15">
        <v>1.0</v>
      </c>
      <c r="X62" s="17">
        <f t="shared" si="2"/>
        <v>105.05</v>
      </c>
      <c r="Y62" s="15" t="s">
        <v>44</v>
      </c>
      <c r="Z62" s="15" t="s">
        <v>45</v>
      </c>
      <c r="AA62" s="15" t="s">
        <v>94</v>
      </c>
      <c r="AB62" s="15" t="s">
        <v>765</v>
      </c>
      <c r="AC62" s="15" t="s">
        <v>766</v>
      </c>
      <c r="AD62" s="16">
        <v>75.92</v>
      </c>
      <c r="AE62" s="16">
        <v>90.2</v>
      </c>
      <c r="AF62" s="15">
        <v>1.0</v>
      </c>
      <c r="AG62" s="17">
        <f t="shared" si="3"/>
        <v>90.2</v>
      </c>
      <c r="AH62" s="15" t="s">
        <v>44</v>
      </c>
      <c r="AI62" s="15" t="s">
        <v>76</v>
      </c>
      <c r="AJ62" s="15" t="s">
        <v>73</v>
      </c>
      <c r="AK62" s="15" t="s">
        <v>767</v>
      </c>
      <c r="AL62" s="15" t="s">
        <v>768</v>
      </c>
      <c r="AM62" s="16">
        <v>75.92</v>
      </c>
      <c r="AN62" s="16">
        <v>92.48</v>
      </c>
      <c r="AO62" s="15">
        <v>1.0</v>
      </c>
      <c r="AP62" s="17">
        <f t="shared" si="4"/>
        <v>92.48</v>
      </c>
      <c r="AQ62" s="15" t="s">
        <v>44</v>
      </c>
      <c r="AR62" s="15" t="s">
        <v>89</v>
      </c>
      <c r="AS62" s="15" t="s">
        <v>53</v>
      </c>
      <c r="AT62" s="15" t="s">
        <v>57</v>
      </c>
      <c r="AU62" s="15" t="s">
        <v>41</v>
      </c>
    </row>
    <row r="63" ht="30.0" customHeight="1">
      <c r="A63" s="6" t="s">
        <v>769</v>
      </c>
      <c r="B63" s="8" t="s">
        <v>770</v>
      </c>
      <c r="C63" s="8" t="s">
        <v>397</v>
      </c>
      <c r="D63" s="8" t="s">
        <v>80</v>
      </c>
      <c r="E63" s="8" t="s">
        <v>167</v>
      </c>
      <c r="F63" s="8" t="s">
        <v>771</v>
      </c>
      <c r="G63" s="6" t="s">
        <v>39</v>
      </c>
      <c r="H63" s="6" t="s">
        <v>489</v>
      </c>
      <c r="I63" s="6" t="s">
        <v>106</v>
      </c>
      <c r="J63" s="15" t="s">
        <v>772</v>
      </c>
      <c r="K63" s="15" t="s">
        <v>773</v>
      </c>
      <c r="L63" s="16">
        <v>46.83</v>
      </c>
      <c r="M63" s="16">
        <v>59.7</v>
      </c>
      <c r="N63" s="15">
        <v>1.0</v>
      </c>
      <c r="O63" s="17">
        <f t="shared" si="1"/>
        <v>59.7</v>
      </c>
      <c r="P63" s="15" t="s">
        <v>39</v>
      </c>
      <c r="Q63" s="15" t="s">
        <v>67</v>
      </c>
      <c r="R63" s="15" t="s">
        <v>46</v>
      </c>
      <c r="S63" s="15" t="s">
        <v>774</v>
      </c>
      <c r="T63" s="15" t="s">
        <v>775</v>
      </c>
      <c r="U63" s="16">
        <v>46.83</v>
      </c>
      <c r="V63" s="16">
        <v>57.28</v>
      </c>
      <c r="W63" s="15">
        <v>100.0</v>
      </c>
      <c r="X63" s="17">
        <f t="shared" si="2"/>
        <v>0.5728</v>
      </c>
      <c r="Y63" s="15" t="s">
        <v>44</v>
      </c>
      <c r="Z63" s="15" t="s">
        <v>76</v>
      </c>
      <c r="AA63" s="15" t="s">
        <v>50</v>
      </c>
      <c r="AB63" s="15" t="s">
        <v>776</v>
      </c>
      <c r="AC63" s="15" t="s">
        <v>777</v>
      </c>
      <c r="AD63" s="16">
        <v>46.83</v>
      </c>
      <c r="AE63" s="16">
        <v>65.12</v>
      </c>
      <c r="AF63" s="15">
        <v>1.0</v>
      </c>
      <c r="AG63" s="17">
        <f t="shared" si="3"/>
        <v>65.12</v>
      </c>
      <c r="AH63" s="15" t="s">
        <v>44</v>
      </c>
      <c r="AI63" s="15" t="s">
        <v>49</v>
      </c>
      <c r="AJ63" s="15" t="s">
        <v>56</v>
      </c>
      <c r="AK63" s="15" t="s">
        <v>778</v>
      </c>
      <c r="AL63" s="15" t="s">
        <v>779</v>
      </c>
      <c r="AM63" s="16">
        <v>46.83</v>
      </c>
      <c r="AN63" s="16">
        <v>60.88</v>
      </c>
      <c r="AO63" s="15">
        <v>1.0</v>
      </c>
      <c r="AP63" s="17">
        <f t="shared" si="4"/>
        <v>60.88</v>
      </c>
      <c r="AQ63" s="15" t="s">
        <v>44</v>
      </c>
      <c r="AR63" s="15" t="s">
        <v>45</v>
      </c>
      <c r="AS63" s="15" t="s">
        <v>70</v>
      </c>
      <c r="AT63" s="15" t="s">
        <v>57</v>
      </c>
      <c r="AU63" s="15" t="s">
        <v>106</v>
      </c>
    </row>
    <row r="64" ht="30.0" customHeight="1">
      <c r="A64" s="6" t="s">
        <v>780</v>
      </c>
      <c r="B64" s="8" t="s">
        <v>781</v>
      </c>
      <c r="C64" s="8" t="s">
        <v>782</v>
      </c>
      <c r="D64" s="8" t="s">
        <v>36</v>
      </c>
      <c r="E64" s="8" t="s">
        <v>62</v>
      </c>
      <c r="F64" s="8" t="s">
        <v>523</v>
      </c>
      <c r="G64" s="6" t="s">
        <v>39</v>
      </c>
      <c r="H64" s="6" t="s">
        <v>64</v>
      </c>
      <c r="I64" s="6" t="s">
        <v>41</v>
      </c>
      <c r="J64" s="15" t="s">
        <v>783</v>
      </c>
      <c r="K64" s="15" t="s">
        <v>784</v>
      </c>
      <c r="L64" s="16">
        <v>70.86</v>
      </c>
      <c r="M64" s="16">
        <v>79.49</v>
      </c>
      <c r="N64" s="15">
        <v>50.0</v>
      </c>
      <c r="O64" s="17">
        <f t="shared" si="1"/>
        <v>1.5898</v>
      </c>
      <c r="P64" s="15" t="s">
        <v>39</v>
      </c>
      <c r="Q64" s="15" t="s">
        <v>76</v>
      </c>
      <c r="R64" s="15" t="s">
        <v>46</v>
      </c>
      <c r="S64" s="15" t="s">
        <v>785</v>
      </c>
      <c r="T64" s="15" t="s">
        <v>786</v>
      </c>
      <c r="U64" s="16">
        <v>70.86</v>
      </c>
      <c r="V64" s="16">
        <v>93.2</v>
      </c>
      <c r="W64" s="15">
        <v>50.0</v>
      </c>
      <c r="X64" s="17">
        <f t="shared" si="2"/>
        <v>1.864</v>
      </c>
      <c r="Y64" s="15" t="s">
        <v>39</v>
      </c>
      <c r="Z64" s="15" t="s">
        <v>76</v>
      </c>
      <c r="AA64" s="15" t="s">
        <v>135</v>
      </c>
      <c r="AB64" s="15" t="s">
        <v>787</v>
      </c>
      <c r="AC64" s="15" t="s">
        <v>788</v>
      </c>
      <c r="AD64" s="16">
        <v>70.86</v>
      </c>
      <c r="AE64" s="16">
        <v>78.49</v>
      </c>
      <c r="AF64" s="15">
        <v>25.0</v>
      </c>
      <c r="AG64" s="17">
        <f t="shared" si="3"/>
        <v>3.1396</v>
      </c>
      <c r="AH64" s="15" t="s">
        <v>44</v>
      </c>
      <c r="AI64" s="15" t="s">
        <v>67</v>
      </c>
      <c r="AJ64" s="15" t="s">
        <v>56</v>
      </c>
      <c r="AK64" s="15" t="s">
        <v>789</v>
      </c>
      <c r="AL64" s="15" t="s">
        <v>790</v>
      </c>
      <c r="AM64" s="16">
        <v>70.86</v>
      </c>
      <c r="AN64" s="16">
        <v>96.83</v>
      </c>
      <c r="AO64" s="15">
        <v>50.0</v>
      </c>
      <c r="AP64" s="17">
        <f t="shared" si="4"/>
        <v>1.9366</v>
      </c>
      <c r="AQ64" s="15" t="s">
        <v>39</v>
      </c>
      <c r="AR64" s="15" t="s">
        <v>67</v>
      </c>
      <c r="AS64" s="15" t="s">
        <v>46</v>
      </c>
      <c r="AT64" s="15" t="s">
        <v>155</v>
      </c>
      <c r="AU64" s="15" t="s">
        <v>41</v>
      </c>
    </row>
    <row r="65" ht="30.0" customHeight="1">
      <c r="A65" s="6" t="s">
        <v>791</v>
      </c>
      <c r="B65" s="8" t="s">
        <v>792</v>
      </c>
      <c r="C65" s="8" t="s">
        <v>793</v>
      </c>
      <c r="D65" s="8" t="s">
        <v>191</v>
      </c>
      <c r="E65" s="8" t="s">
        <v>154</v>
      </c>
      <c r="F65" s="8" t="s">
        <v>243</v>
      </c>
      <c r="G65" s="6" t="s">
        <v>39</v>
      </c>
      <c r="H65" s="6" t="s">
        <v>398</v>
      </c>
      <c r="I65" s="6" t="s">
        <v>41</v>
      </c>
      <c r="J65" s="15" t="s">
        <v>794</v>
      </c>
      <c r="K65" s="15" t="s">
        <v>795</v>
      </c>
      <c r="L65" s="16">
        <v>13.73</v>
      </c>
      <c r="M65" s="16">
        <v>19.36</v>
      </c>
      <c r="N65" s="15">
        <v>1.0</v>
      </c>
      <c r="O65" s="17">
        <f t="shared" si="1"/>
        <v>19.36</v>
      </c>
      <c r="P65" s="15" t="s">
        <v>44</v>
      </c>
      <c r="Q65" s="15" t="s">
        <v>76</v>
      </c>
      <c r="R65" s="15" t="s">
        <v>50</v>
      </c>
      <c r="S65" s="15" t="s">
        <v>796</v>
      </c>
      <c r="T65" s="15" t="s">
        <v>797</v>
      </c>
      <c r="U65" s="16">
        <v>13.73</v>
      </c>
      <c r="V65" s="16">
        <v>17.22</v>
      </c>
      <c r="W65" s="15">
        <v>5.0</v>
      </c>
      <c r="X65" s="17">
        <f t="shared" si="2"/>
        <v>3.444</v>
      </c>
      <c r="Y65" s="15" t="s">
        <v>39</v>
      </c>
      <c r="Z65" s="15" t="s">
        <v>89</v>
      </c>
      <c r="AA65" s="15" t="s">
        <v>46</v>
      </c>
      <c r="AB65" s="15" t="s">
        <v>798</v>
      </c>
      <c r="AC65" s="15" t="s">
        <v>799</v>
      </c>
      <c r="AD65" s="16">
        <v>13.73</v>
      </c>
      <c r="AE65" s="16">
        <v>17.47</v>
      </c>
      <c r="AF65" s="15">
        <v>1.0</v>
      </c>
      <c r="AG65" s="17">
        <f t="shared" si="3"/>
        <v>17.47</v>
      </c>
      <c r="AH65" s="15" t="s">
        <v>44</v>
      </c>
      <c r="AI65" s="15" t="s">
        <v>49</v>
      </c>
      <c r="AJ65" s="15" t="s">
        <v>73</v>
      </c>
      <c r="AK65" s="15" t="s">
        <v>800</v>
      </c>
      <c r="AL65" s="15" t="s">
        <v>801</v>
      </c>
      <c r="AM65" s="16">
        <v>13.73</v>
      </c>
      <c r="AN65" s="16">
        <v>16.6</v>
      </c>
      <c r="AO65" s="15">
        <v>1.0</v>
      </c>
      <c r="AP65" s="17">
        <f t="shared" si="4"/>
        <v>16.6</v>
      </c>
      <c r="AQ65" s="15" t="s">
        <v>44</v>
      </c>
      <c r="AR65" s="15" t="s">
        <v>89</v>
      </c>
      <c r="AS65" s="15" t="s">
        <v>115</v>
      </c>
      <c r="AT65" s="15" t="s">
        <v>57</v>
      </c>
      <c r="AU65" s="15" t="s">
        <v>41</v>
      </c>
    </row>
    <row r="66" ht="30.0" customHeight="1">
      <c r="A66" s="6" t="s">
        <v>802</v>
      </c>
      <c r="B66" s="8" t="s">
        <v>803</v>
      </c>
      <c r="C66" s="8" t="s">
        <v>804</v>
      </c>
      <c r="D66" s="8" t="s">
        <v>105</v>
      </c>
      <c r="E66" s="8" t="s">
        <v>141</v>
      </c>
      <c r="F66" s="8" t="s">
        <v>231</v>
      </c>
      <c r="G66" s="6" t="s">
        <v>44</v>
      </c>
      <c r="H66" s="6" t="s">
        <v>129</v>
      </c>
      <c r="I66" s="6" t="s">
        <v>41</v>
      </c>
      <c r="J66" s="15" t="s">
        <v>805</v>
      </c>
      <c r="K66" s="15" t="s">
        <v>806</v>
      </c>
      <c r="L66" s="16">
        <v>76.43</v>
      </c>
      <c r="M66" s="16">
        <v>90.82</v>
      </c>
      <c r="N66" s="15">
        <v>100.0</v>
      </c>
      <c r="O66" s="17">
        <f t="shared" si="1"/>
        <v>0.9082</v>
      </c>
      <c r="P66" s="15" t="s">
        <v>44</v>
      </c>
      <c r="Q66" s="15" t="s">
        <v>89</v>
      </c>
      <c r="R66" s="15" t="s">
        <v>94</v>
      </c>
      <c r="S66" s="15" t="s">
        <v>807</v>
      </c>
      <c r="T66" s="15" t="s">
        <v>808</v>
      </c>
      <c r="U66" s="16">
        <v>76.43</v>
      </c>
      <c r="V66" s="16">
        <v>91.79</v>
      </c>
      <c r="W66" s="15">
        <v>25.0</v>
      </c>
      <c r="X66" s="17">
        <f t="shared" si="2"/>
        <v>3.6716</v>
      </c>
      <c r="Y66" s="15" t="s">
        <v>39</v>
      </c>
      <c r="Z66" s="15" t="s">
        <v>89</v>
      </c>
      <c r="AA66" s="15" t="s">
        <v>135</v>
      </c>
      <c r="AB66" s="15" t="s">
        <v>809</v>
      </c>
      <c r="AC66" s="15" t="s">
        <v>810</v>
      </c>
      <c r="AD66" s="16">
        <v>76.43</v>
      </c>
      <c r="AE66" s="16">
        <v>103.96</v>
      </c>
      <c r="AF66" s="15">
        <v>1.0</v>
      </c>
      <c r="AG66" s="17">
        <f t="shared" si="3"/>
        <v>103.96</v>
      </c>
      <c r="AH66" s="15" t="s">
        <v>44</v>
      </c>
      <c r="AI66" s="15" t="s">
        <v>45</v>
      </c>
      <c r="AJ66" s="15" t="s">
        <v>56</v>
      </c>
      <c r="AK66" s="15" t="s">
        <v>811</v>
      </c>
      <c r="AL66" s="15" t="s">
        <v>812</v>
      </c>
      <c r="AM66" s="16">
        <v>76.43</v>
      </c>
      <c r="AN66" s="16">
        <v>78.78</v>
      </c>
      <c r="AO66" s="15">
        <v>1.0</v>
      </c>
      <c r="AP66" s="17">
        <f t="shared" si="4"/>
        <v>78.78</v>
      </c>
      <c r="AQ66" s="15" t="s">
        <v>44</v>
      </c>
      <c r="AR66" s="15" t="s">
        <v>45</v>
      </c>
      <c r="AS66" s="15" t="s">
        <v>56</v>
      </c>
      <c r="AT66" s="15" t="s">
        <v>155</v>
      </c>
      <c r="AU66" s="15" t="s">
        <v>41</v>
      </c>
    </row>
    <row r="67" ht="30.0" customHeight="1">
      <c r="A67" s="6" t="s">
        <v>813</v>
      </c>
      <c r="B67" s="8" t="s">
        <v>814</v>
      </c>
      <c r="C67" s="8" t="s">
        <v>815</v>
      </c>
      <c r="D67" s="8" t="s">
        <v>61</v>
      </c>
      <c r="E67" s="8" t="s">
        <v>81</v>
      </c>
      <c r="F67" s="8" t="s">
        <v>82</v>
      </c>
      <c r="G67" s="6" t="s">
        <v>44</v>
      </c>
      <c r="H67" s="6" t="s">
        <v>570</v>
      </c>
      <c r="I67" s="6" t="s">
        <v>106</v>
      </c>
      <c r="J67" s="15" t="s">
        <v>816</v>
      </c>
      <c r="K67" s="15" t="s">
        <v>817</v>
      </c>
      <c r="L67" s="16">
        <v>34.68</v>
      </c>
      <c r="M67" s="16">
        <v>42.83</v>
      </c>
      <c r="N67" s="15">
        <v>5.0</v>
      </c>
      <c r="O67" s="17">
        <f t="shared" si="1"/>
        <v>8.566</v>
      </c>
      <c r="P67" s="15" t="s">
        <v>44</v>
      </c>
      <c r="Q67" s="15" t="s">
        <v>45</v>
      </c>
      <c r="R67" s="15" t="s">
        <v>46</v>
      </c>
      <c r="S67" s="15" t="s">
        <v>818</v>
      </c>
      <c r="T67" s="15" t="s">
        <v>819</v>
      </c>
      <c r="U67" s="16">
        <v>34.68</v>
      </c>
      <c r="V67" s="16">
        <v>38.38</v>
      </c>
      <c r="W67" s="15">
        <v>50.0</v>
      </c>
      <c r="X67" s="17">
        <f t="shared" si="2"/>
        <v>0.7676</v>
      </c>
      <c r="Y67" s="15" t="s">
        <v>39</v>
      </c>
      <c r="Z67" s="15" t="s">
        <v>109</v>
      </c>
      <c r="AA67" s="15" t="s">
        <v>70</v>
      </c>
      <c r="AB67" s="15" t="s">
        <v>820</v>
      </c>
      <c r="AC67" s="15" t="s">
        <v>821</v>
      </c>
      <c r="AD67" s="16">
        <v>34.68</v>
      </c>
      <c r="AE67" s="16">
        <v>35.66</v>
      </c>
      <c r="AF67" s="15">
        <v>50.0</v>
      </c>
      <c r="AG67" s="17">
        <f t="shared" si="3"/>
        <v>0.7132</v>
      </c>
      <c r="AH67" s="15" t="s">
        <v>39</v>
      </c>
      <c r="AI67" s="15" t="s">
        <v>67</v>
      </c>
      <c r="AJ67" s="15" t="s">
        <v>94</v>
      </c>
      <c r="AK67" s="15" t="s">
        <v>822</v>
      </c>
      <c r="AL67" s="15" t="s">
        <v>823</v>
      </c>
      <c r="AM67" s="16">
        <v>34.68</v>
      </c>
      <c r="AN67" s="16">
        <v>43.27</v>
      </c>
      <c r="AO67" s="15">
        <v>50.0</v>
      </c>
      <c r="AP67" s="17">
        <f t="shared" si="4"/>
        <v>0.8654</v>
      </c>
      <c r="AQ67" s="15" t="s">
        <v>44</v>
      </c>
      <c r="AR67" s="15" t="s">
        <v>67</v>
      </c>
      <c r="AS67" s="15" t="s">
        <v>46</v>
      </c>
      <c r="AT67" s="15" t="s">
        <v>57</v>
      </c>
      <c r="AU67" s="15" t="s">
        <v>106</v>
      </c>
    </row>
    <row r="68" ht="30.0" customHeight="1">
      <c r="A68" s="6" t="s">
        <v>824</v>
      </c>
      <c r="B68" s="8" t="s">
        <v>825</v>
      </c>
      <c r="C68" s="8" t="s">
        <v>826</v>
      </c>
      <c r="D68" s="8" t="s">
        <v>61</v>
      </c>
      <c r="E68" s="8" t="s">
        <v>81</v>
      </c>
      <c r="F68" s="8" t="s">
        <v>352</v>
      </c>
      <c r="G68" s="6" t="s">
        <v>44</v>
      </c>
      <c r="H68" s="6" t="s">
        <v>547</v>
      </c>
      <c r="I68" s="6" t="s">
        <v>106</v>
      </c>
      <c r="J68" s="15" t="s">
        <v>827</v>
      </c>
      <c r="K68" s="15" t="s">
        <v>828</v>
      </c>
      <c r="L68" s="16">
        <v>16.67</v>
      </c>
      <c r="M68" s="16">
        <v>21.81</v>
      </c>
      <c r="N68" s="15">
        <v>1.0</v>
      </c>
      <c r="O68" s="17">
        <f t="shared" si="1"/>
        <v>21.81</v>
      </c>
      <c r="P68" s="15" t="s">
        <v>44</v>
      </c>
      <c r="Q68" s="15" t="s">
        <v>76</v>
      </c>
      <c r="R68" s="15" t="s">
        <v>70</v>
      </c>
      <c r="S68" s="15" t="s">
        <v>829</v>
      </c>
      <c r="T68" s="15" t="s">
        <v>830</v>
      </c>
      <c r="U68" s="16">
        <v>16.67</v>
      </c>
      <c r="V68" s="16">
        <v>19.36</v>
      </c>
      <c r="W68" s="15">
        <v>1.0</v>
      </c>
      <c r="X68" s="17">
        <f t="shared" si="2"/>
        <v>19.36</v>
      </c>
      <c r="Y68" s="15" t="s">
        <v>44</v>
      </c>
      <c r="Z68" s="15" t="s">
        <v>89</v>
      </c>
      <c r="AA68" s="15" t="s">
        <v>179</v>
      </c>
      <c r="AB68" s="15" t="s">
        <v>831</v>
      </c>
      <c r="AC68" s="15" t="s">
        <v>832</v>
      </c>
      <c r="AD68" s="16">
        <v>16.67</v>
      </c>
      <c r="AE68" s="16">
        <v>17.62</v>
      </c>
      <c r="AF68" s="15">
        <v>1.0</v>
      </c>
      <c r="AG68" s="17">
        <f t="shared" si="3"/>
        <v>17.62</v>
      </c>
      <c r="AH68" s="15" t="s">
        <v>44</v>
      </c>
      <c r="AI68" s="15" t="s">
        <v>49</v>
      </c>
      <c r="AJ68" s="15" t="s">
        <v>46</v>
      </c>
      <c r="AK68" s="15" t="s">
        <v>833</v>
      </c>
      <c r="AL68" s="15" t="s">
        <v>834</v>
      </c>
      <c r="AM68" s="16">
        <v>16.67</v>
      </c>
      <c r="AN68" s="16">
        <v>22.82</v>
      </c>
      <c r="AO68" s="15">
        <v>1.0</v>
      </c>
      <c r="AP68" s="17">
        <f t="shared" si="4"/>
        <v>22.82</v>
      </c>
      <c r="AQ68" s="15" t="s">
        <v>44</v>
      </c>
      <c r="AR68" s="15" t="s">
        <v>89</v>
      </c>
      <c r="AS68" s="15" t="s">
        <v>56</v>
      </c>
      <c r="AT68" s="15" t="s">
        <v>155</v>
      </c>
      <c r="AU68" s="15" t="s">
        <v>106</v>
      </c>
    </row>
    <row r="69" ht="30.0" customHeight="1">
      <c r="A69" s="6" t="s">
        <v>835</v>
      </c>
      <c r="B69" s="8" t="s">
        <v>836</v>
      </c>
      <c r="C69" s="8" t="s">
        <v>522</v>
      </c>
      <c r="D69" s="8" t="s">
        <v>61</v>
      </c>
      <c r="E69" s="8" t="s">
        <v>81</v>
      </c>
      <c r="F69" s="8" t="s">
        <v>352</v>
      </c>
      <c r="G69" s="6" t="s">
        <v>39</v>
      </c>
      <c r="H69" s="6" t="s">
        <v>694</v>
      </c>
      <c r="I69" s="6" t="s">
        <v>41</v>
      </c>
      <c r="J69" s="15" t="s">
        <v>837</v>
      </c>
      <c r="K69" s="15" t="s">
        <v>838</v>
      </c>
      <c r="L69" s="16">
        <v>46.67</v>
      </c>
      <c r="M69" s="16">
        <v>54.19</v>
      </c>
      <c r="N69" s="15">
        <v>10.0</v>
      </c>
      <c r="O69" s="17">
        <f t="shared" si="1"/>
        <v>5.419</v>
      </c>
      <c r="P69" s="15" t="s">
        <v>44</v>
      </c>
      <c r="Q69" s="15" t="s">
        <v>76</v>
      </c>
      <c r="R69" s="15" t="s">
        <v>53</v>
      </c>
      <c r="S69" s="15" t="s">
        <v>839</v>
      </c>
      <c r="T69" s="15" t="s">
        <v>840</v>
      </c>
      <c r="U69" s="16">
        <v>46.67</v>
      </c>
      <c r="V69" s="16">
        <v>60.52</v>
      </c>
      <c r="W69" s="15">
        <v>10.0</v>
      </c>
      <c r="X69" s="17">
        <f t="shared" si="2"/>
        <v>6.052</v>
      </c>
      <c r="Y69" s="15" t="s">
        <v>44</v>
      </c>
      <c r="Z69" s="15" t="s">
        <v>89</v>
      </c>
      <c r="AA69" s="15" t="s">
        <v>50</v>
      </c>
      <c r="AB69" s="15" t="s">
        <v>841</v>
      </c>
      <c r="AC69" s="15" t="s">
        <v>842</v>
      </c>
      <c r="AD69" s="16">
        <v>46.67</v>
      </c>
      <c r="AE69" s="16">
        <v>54.79</v>
      </c>
      <c r="AF69" s="15">
        <v>10.0</v>
      </c>
      <c r="AG69" s="17">
        <f t="shared" si="3"/>
        <v>5.479</v>
      </c>
      <c r="AH69" s="15" t="s">
        <v>39</v>
      </c>
      <c r="AI69" s="15" t="s">
        <v>49</v>
      </c>
      <c r="AJ69" s="15" t="s">
        <v>50</v>
      </c>
      <c r="AK69" s="15" t="s">
        <v>843</v>
      </c>
      <c r="AL69" s="15" t="s">
        <v>844</v>
      </c>
      <c r="AM69" s="16">
        <v>46.67</v>
      </c>
      <c r="AN69" s="16">
        <v>53.93</v>
      </c>
      <c r="AO69" s="15">
        <v>10.0</v>
      </c>
      <c r="AP69" s="17">
        <f t="shared" si="4"/>
        <v>5.393</v>
      </c>
      <c r="AQ69" s="15" t="s">
        <v>44</v>
      </c>
      <c r="AR69" s="15" t="s">
        <v>76</v>
      </c>
      <c r="AS69" s="15" t="s">
        <v>53</v>
      </c>
      <c r="AT69" s="15" t="s">
        <v>57</v>
      </c>
      <c r="AU69" s="15" t="s">
        <v>41</v>
      </c>
    </row>
    <row r="70" ht="30.0" customHeight="1">
      <c r="A70" s="6" t="s">
        <v>845</v>
      </c>
      <c r="B70" s="8" t="s">
        <v>846</v>
      </c>
      <c r="C70" s="8" t="s">
        <v>847</v>
      </c>
      <c r="D70" s="8" t="s">
        <v>105</v>
      </c>
      <c r="E70" s="8" t="s">
        <v>154</v>
      </c>
      <c r="F70" s="8" t="s">
        <v>706</v>
      </c>
      <c r="G70" s="6" t="s">
        <v>44</v>
      </c>
      <c r="H70" s="6" t="s">
        <v>386</v>
      </c>
      <c r="I70" s="6" t="s">
        <v>41</v>
      </c>
      <c r="J70" s="15" t="s">
        <v>848</v>
      </c>
      <c r="K70" s="15" t="s">
        <v>849</v>
      </c>
      <c r="L70" s="16">
        <v>53.4</v>
      </c>
      <c r="M70" s="16">
        <v>63.25</v>
      </c>
      <c r="N70" s="15">
        <v>50.0</v>
      </c>
      <c r="O70" s="17">
        <f t="shared" si="1"/>
        <v>1.265</v>
      </c>
      <c r="P70" s="15" t="s">
        <v>39</v>
      </c>
      <c r="Q70" s="15" t="s">
        <v>89</v>
      </c>
      <c r="R70" s="15" t="s">
        <v>50</v>
      </c>
      <c r="S70" s="15" t="s">
        <v>850</v>
      </c>
      <c r="T70" s="15" t="s">
        <v>851</v>
      </c>
      <c r="U70" s="16">
        <v>53.4</v>
      </c>
      <c r="V70" s="16">
        <v>59.54</v>
      </c>
      <c r="W70" s="15">
        <v>50.0</v>
      </c>
      <c r="X70" s="17">
        <f t="shared" si="2"/>
        <v>1.1908</v>
      </c>
      <c r="Y70" s="15" t="s">
        <v>44</v>
      </c>
      <c r="Z70" s="15" t="s">
        <v>45</v>
      </c>
      <c r="AA70" s="15" t="s">
        <v>53</v>
      </c>
      <c r="AB70" s="15" t="s">
        <v>852</v>
      </c>
      <c r="AC70" s="15" t="s">
        <v>853</v>
      </c>
      <c r="AD70" s="16">
        <v>53.4</v>
      </c>
      <c r="AE70" s="16">
        <v>70.31</v>
      </c>
      <c r="AF70" s="15">
        <v>100.0</v>
      </c>
      <c r="AG70" s="17">
        <f t="shared" si="3"/>
        <v>0.7031</v>
      </c>
      <c r="AH70" s="15" t="s">
        <v>44</v>
      </c>
      <c r="AI70" s="15" t="s">
        <v>89</v>
      </c>
      <c r="AJ70" s="15" t="s">
        <v>115</v>
      </c>
      <c r="AK70" s="15" t="s">
        <v>854</v>
      </c>
      <c r="AL70" s="15" t="s">
        <v>855</v>
      </c>
      <c r="AM70" s="16">
        <v>53.4</v>
      </c>
      <c r="AN70" s="16">
        <v>54.82</v>
      </c>
      <c r="AO70" s="15">
        <v>50.0</v>
      </c>
      <c r="AP70" s="17">
        <f t="shared" si="4"/>
        <v>1.0964</v>
      </c>
      <c r="AQ70" s="15" t="s">
        <v>44</v>
      </c>
      <c r="AR70" s="15" t="s">
        <v>45</v>
      </c>
      <c r="AS70" s="15" t="s">
        <v>50</v>
      </c>
      <c r="AT70" s="15" t="s">
        <v>155</v>
      </c>
      <c r="AU70" s="15" t="s">
        <v>41</v>
      </c>
    </row>
    <row r="71" ht="30.0" customHeight="1">
      <c r="A71" s="6" t="s">
        <v>856</v>
      </c>
      <c r="B71" s="8" t="s">
        <v>857</v>
      </c>
      <c r="C71" s="8" t="s">
        <v>858</v>
      </c>
      <c r="D71" s="8" t="s">
        <v>242</v>
      </c>
      <c r="E71" s="8" t="s">
        <v>62</v>
      </c>
      <c r="F71" s="8" t="s">
        <v>523</v>
      </c>
      <c r="G71" s="6" t="s">
        <v>44</v>
      </c>
      <c r="H71" s="6" t="s">
        <v>64</v>
      </c>
      <c r="I71" s="6" t="s">
        <v>41</v>
      </c>
      <c r="J71" s="15" t="s">
        <v>859</v>
      </c>
      <c r="K71" s="15" t="s">
        <v>860</v>
      </c>
      <c r="L71" s="16">
        <v>58.02</v>
      </c>
      <c r="M71" s="16">
        <v>73.25</v>
      </c>
      <c r="N71" s="15">
        <v>1.0</v>
      </c>
      <c r="O71" s="17">
        <f t="shared" si="1"/>
        <v>73.25</v>
      </c>
      <c r="P71" s="15" t="s">
        <v>44</v>
      </c>
      <c r="Q71" s="15" t="s">
        <v>67</v>
      </c>
      <c r="R71" s="15" t="s">
        <v>179</v>
      </c>
      <c r="S71" s="15" t="s">
        <v>861</v>
      </c>
      <c r="T71" s="15" t="s">
        <v>862</v>
      </c>
      <c r="U71" s="16">
        <v>58.02</v>
      </c>
      <c r="V71" s="16">
        <v>62.95</v>
      </c>
      <c r="W71" s="15">
        <v>100.0</v>
      </c>
      <c r="X71" s="17">
        <f t="shared" si="2"/>
        <v>0.6295</v>
      </c>
      <c r="Y71" s="15" t="s">
        <v>44</v>
      </c>
      <c r="Z71" s="15" t="s">
        <v>89</v>
      </c>
      <c r="AA71" s="15" t="s">
        <v>46</v>
      </c>
      <c r="AB71" s="15" t="s">
        <v>863</v>
      </c>
      <c r="AC71" s="15" t="s">
        <v>864</v>
      </c>
      <c r="AD71" s="16">
        <v>58.02</v>
      </c>
      <c r="AE71" s="16">
        <v>59.59</v>
      </c>
      <c r="AF71" s="15">
        <v>1.0</v>
      </c>
      <c r="AG71" s="17">
        <f t="shared" si="3"/>
        <v>59.59</v>
      </c>
      <c r="AH71" s="15" t="s">
        <v>44</v>
      </c>
      <c r="AI71" s="15" t="s">
        <v>49</v>
      </c>
      <c r="AJ71" s="15" t="s">
        <v>73</v>
      </c>
      <c r="AK71" s="15" t="s">
        <v>865</v>
      </c>
      <c r="AL71" s="15" t="s">
        <v>866</v>
      </c>
      <c r="AM71" s="16">
        <v>58.02</v>
      </c>
      <c r="AN71" s="16">
        <v>62.26</v>
      </c>
      <c r="AO71" s="15">
        <v>1.0</v>
      </c>
      <c r="AP71" s="17">
        <f t="shared" si="4"/>
        <v>62.26</v>
      </c>
      <c r="AQ71" s="15" t="s">
        <v>39</v>
      </c>
      <c r="AR71" s="15" t="s">
        <v>49</v>
      </c>
      <c r="AS71" s="15" t="s">
        <v>179</v>
      </c>
      <c r="AT71" s="15" t="s">
        <v>120</v>
      </c>
      <c r="AU71" s="15" t="s">
        <v>41</v>
      </c>
    </row>
    <row r="72" ht="30.0" customHeight="1">
      <c r="A72" s="6" t="s">
        <v>867</v>
      </c>
      <c r="B72" s="8" t="s">
        <v>868</v>
      </c>
      <c r="C72" s="8" t="s">
        <v>522</v>
      </c>
      <c r="D72" s="8" t="s">
        <v>61</v>
      </c>
      <c r="E72" s="8" t="s">
        <v>62</v>
      </c>
      <c r="F72" s="8" t="s">
        <v>523</v>
      </c>
      <c r="G72" s="6" t="s">
        <v>44</v>
      </c>
      <c r="H72" s="6" t="s">
        <v>489</v>
      </c>
      <c r="I72" s="6" t="s">
        <v>41</v>
      </c>
      <c r="J72" s="15" t="s">
        <v>869</v>
      </c>
      <c r="K72" s="15" t="s">
        <v>870</v>
      </c>
      <c r="L72" s="16">
        <v>69.58</v>
      </c>
      <c r="M72" s="16">
        <v>71.88</v>
      </c>
      <c r="N72" s="15">
        <v>24.0</v>
      </c>
      <c r="O72" s="17">
        <f t="shared" si="1"/>
        <v>2.995</v>
      </c>
      <c r="P72" s="15" t="s">
        <v>44</v>
      </c>
      <c r="Q72" s="15" t="s">
        <v>100</v>
      </c>
      <c r="R72" s="15" t="s">
        <v>56</v>
      </c>
      <c r="S72" s="15" t="s">
        <v>871</v>
      </c>
      <c r="T72" s="15" t="s">
        <v>872</v>
      </c>
      <c r="U72" s="16">
        <v>69.58</v>
      </c>
      <c r="V72" s="16">
        <v>95.51</v>
      </c>
      <c r="W72" s="15">
        <v>10.0</v>
      </c>
      <c r="X72" s="17">
        <f t="shared" si="2"/>
        <v>9.551</v>
      </c>
      <c r="Y72" s="15" t="s">
        <v>44</v>
      </c>
      <c r="Z72" s="15" t="s">
        <v>89</v>
      </c>
      <c r="AA72" s="15" t="s">
        <v>73</v>
      </c>
      <c r="AB72" s="15" t="s">
        <v>873</v>
      </c>
      <c r="AC72" s="15" t="s">
        <v>874</v>
      </c>
      <c r="AD72" s="16">
        <v>69.58</v>
      </c>
      <c r="AE72" s="16">
        <v>74.51</v>
      </c>
      <c r="AF72" s="15">
        <v>24.0</v>
      </c>
      <c r="AG72" s="17">
        <f t="shared" si="3"/>
        <v>3.104583333</v>
      </c>
      <c r="AH72" s="15" t="s">
        <v>44</v>
      </c>
      <c r="AI72" s="15" t="s">
        <v>109</v>
      </c>
      <c r="AJ72" s="15" t="s">
        <v>179</v>
      </c>
      <c r="AK72" s="15" t="s">
        <v>875</v>
      </c>
      <c r="AL72" s="15" t="s">
        <v>876</v>
      </c>
      <c r="AM72" s="16">
        <v>69.58</v>
      </c>
      <c r="AN72" s="16">
        <v>87.47</v>
      </c>
      <c r="AO72" s="15">
        <v>50.0</v>
      </c>
      <c r="AP72" s="17">
        <f t="shared" si="4"/>
        <v>1.7494</v>
      </c>
      <c r="AQ72" s="15" t="s">
        <v>39</v>
      </c>
      <c r="AR72" s="15" t="s">
        <v>45</v>
      </c>
      <c r="AS72" s="15" t="s">
        <v>135</v>
      </c>
      <c r="AT72" s="15" t="s">
        <v>155</v>
      </c>
      <c r="AU72" s="15" t="s">
        <v>41</v>
      </c>
    </row>
    <row r="73" ht="30.0" customHeight="1">
      <c r="A73" s="6" t="s">
        <v>877</v>
      </c>
      <c r="B73" s="8" t="s">
        <v>878</v>
      </c>
      <c r="C73" s="8" t="s">
        <v>879</v>
      </c>
      <c r="D73" s="8" t="s">
        <v>242</v>
      </c>
      <c r="E73" s="8" t="s">
        <v>126</v>
      </c>
      <c r="F73" s="8" t="s">
        <v>127</v>
      </c>
      <c r="G73" s="6" t="s">
        <v>39</v>
      </c>
      <c r="H73" s="6" t="s">
        <v>83</v>
      </c>
      <c r="I73" s="6" t="s">
        <v>41</v>
      </c>
      <c r="J73" s="15" t="s">
        <v>880</v>
      </c>
      <c r="K73" s="15" t="s">
        <v>881</v>
      </c>
      <c r="L73" s="16">
        <v>29.74</v>
      </c>
      <c r="M73" s="16">
        <v>39.29</v>
      </c>
      <c r="N73" s="15">
        <v>1.0</v>
      </c>
      <c r="O73" s="17">
        <f t="shared" si="1"/>
        <v>39.29</v>
      </c>
      <c r="P73" s="15" t="s">
        <v>44</v>
      </c>
      <c r="Q73" s="15" t="s">
        <v>76</v>
      </c>
      <c r="R73" s="15" t="s">
        <v>50</v>
      </c>
      <c r="S73" s="15" t="s">
        <v>882</v>
      </c>
      <c r="T73" s="15" t="s">
        <v>883</v>
      </c>
      <c r="U73" s="16">
        <v>29.74</v>
      </c>
      <c r="V73" s="16">
        <v>29.04</v>
      </c>
      <c r="W73" s="15">
        <v>1.0</v>
      </c>
      <c r="X73" s="17">
        <f t="shared" si="2"/>
        <v>29.04</v>
      </c>
      <c r="Y73" s="15" t="s">
        <v>39</v>
      </c>
      <c r="Z73" s="15" t="s">
        <v>89</v>
      </c>
      <c r="AA73" s="15" t="s">
        <v>53</v>
      </c>
      <c r="AB73" s="15" t="s">
        <v>884</v>
      </c>
      <c r="AC73" s="15" t="s">
        <v>885</v>
      </c>
      <c r="AD73" s="16">
        <v>29.74</v>
      </c>
      <c r="AE73" s="16">
        <v>37.7</v>
      </c>
      <c r="AF73" s="15">
        <v>1.0</v>
      </c>
      <c r="AG73" s="17">
        <f t="shared" si="3"/>
        <v>37.7</v>
      </c>
      <c r="AH73" s="15" t="s">
        <v>39</v>
      </c>
      <c r="AI73" s="15" t="s">
        <v>67</v>
      </c>
      <c r="AJ73" s="15" t="s">
        <v>179</v>
      </c>
      <c r="AK73" s="15" t="s">
        <v>886</v>
      </c>
      <c r="AL73" s="15" t="s">
        <v>887</v>
      </c>
      <c r="AM73" s="16">
        <v>29.74</v>
      </c>
      <c r="AN73" s="16">
        <v>37.57</v>
      </c>
      <c r="AO73" s="15">
        <v>25.0</v>
      </c>
      <c r="AP73" s="17">
        <f t="shared" si="4"/>
        <v>1.5028</v>
      </c>
      <c r="AQ73" s="15" t="s">
        <v>44</v>
      </c>
      <c r="AR73" s="15" t="s">
        <v>89</v>
      </c>
      <c r="AS73" s="15" t="s">
        <v>115</v>
      </c>
      <c r="AT73" s="15" t="s">
        <v>57</v>
      </c>
      <c r="AU73" s="15" t="s">
        <v>41</v>
      </c>
    </row>
    <row r="74" ht="30.0" customHeight="1">
      <c r="A74" s="6" t="s">
        <v>888</v>
      </c>
      <c r="B74" s="8" t="s">
        <v>889</v>
      </c>
      <c r="C74" s="8" t="s">
        <v>890</v>
      </c>
      <c r="D74" s="8" t="s">
        <v>191</v>
      </c>
      <c r="E74" s="8" t="s">
        <v>141</v>
      </c>
      <c r="F74" s="8" t="s">
        <v>231</v>
      </c>
      <c r="G74" s="6" t="s">
        <v>44</v>
      </c>
      <c r="H74" s="6" t="s">
        <v>340</v>
      </c>
      <c r="I74" s="6" t="s">
        <v>41</v>
      </c>
      <c r="J74" s="15" t="s">
        <v>891</v>
      </c>
      <c r="K74" s="15" t="s">
        <v>892</v>
      </c>
      <c r="L74" s="16">
        <v>73.41</v>
      </c>
      <c r="M74" s="16">
        <v>77.52</v>
      </c>
      <c r="N74" s="15">
        <v>12.0</v>
      </c>
      <c r="O74" s="17">
        <f t="shared" si="1"/>
        <v>6.46</v>
      </c>
      <c r="P74" s="15" t="s">
        <v>44</v>
      </c>
      <c r="Q74" s="15" t="s">
        <v>49</v>
      </c>
      <c r="R74" s="15" t="s">
        <v>53</v>
      </c>
      <c r="S74" s="15" t="s">
        <v>893</v>
      </c>
      <c r="T74" s="15" t="s">
        <v>894</v>
      </c>
      <c r="U74" s="16">
        <v>73.41</v>
      </c>
      <c r="V74" s="16">
        <v>96.93</v>
      </c>
      <c r="W74" s="15">
        <v>1.0</v>
      </c>
      <c r="X74" s="17">
        <f t="shared" si="2"/>
        <v>96.93</v>
      </c>
      <c r="Y74" s="15" t="s">
        <v>44</v>
      </c>
      <c r="Z74" s="15" t="s">
        <v>76</v>
      </c>
      <c r="AA74" s="15" t="s">
        <v>115</v>
      </c>
      <c r="AB74" s="15" t="s">
        <v>895</v>
      </c>
      <c r="AC74" s="15" t="s">
        <v>896</v>
      </c>
      <c r="AD74" s="16">
        <v>73.41</v>
      </c>
      <c r="AE74" s="16">
        <v>97.84</v>
      </c>
      <c r="AF74" s="15">
        <v>12.0</v>
      </c>
      <c r="AG74" s="17">
        <f t="shared" si="3"/>
        <v>8.153333333</v>
      </c>
      <c r="AH74" s="15" t="s">
        <v>44</v>
      </c>
      <c r="AI74" s="15" t="s">
        <v>76</v>
      </c>
      <c r="AJ74" s="15" t="s">
        <v>135</v>
      </c>
      <c r="AK74" s="15" t="s">
        <v>897</v>
      </c>
      <c r="AL74" s="15" t="s">
        <v>898</v>
      </c>
      <c r="AM74" s="16">
        <v>73.41</v>
      </c>
      <c r="AN74" s="16">
        <v>83.83</v>
      </c>
      <c r="AO74" s="15">
        <v>50.0</v>
      </c>
      <c r="AP74" s="17">
        <f t="shared" si="4"/>
        <v>1.6766</v>
      </c>
      <c r="AQ74" s="15" t="s">
        <v>44</v>
      </c>
      <c r="AR74" s="15" t="s">
        <v>49</v>
      </c>
      <c r="AS74" s="15" t="s">
        <v>179</v>
      </c>
      <c r="AT74" s="15" t="s">
        <v>120</v>
      </c>
      <c r="AU74" s="15" t="s">
        <v>41</v>
      </c>
    </row>
    <row r="75" ht="30.0" customHeight="1">
      <c r="A75" s="6" t="s">
        <v>899</v>
      </c>
      <c r="B75" s="8" t="s">
        <v>900</v>
      </c>
      <c r="C75" s="8" t="s">
        <v>901</v>
      </c>
      <c r="D75" s="8" t="s">
        <v>105</v>
      </c>
      <c r="E75" s="8" t="s">
        <v>141</v>
      </c>
      <c r="F75" s="8" t="s">
        <v>231</v>
      </c>
      <c r="G75" s="6" t="s">
        <v>44</v>
      </c>
      <c r="H75" s="6" t="s">
        <v>433</v>
      </c>
      <c r="I75" s="6" t="s">
        <v>41</v>
      </c>
      <c r="J75" s="15" t="s">
        <v>902</v>
      </c>
      <c r="K75" s="15" t="s">
        <v>903</v>
      </c>
      <c r="L75" s="16">
        <v>20.89</v>
      </c>
      <c r="M75" s="16">
        <v>28.15</v>
      </c>
      <c r="N75" s="15">
        <v>1.0</v>
      </c>
      <c r="O75" s="17">
        <f t="shared" si="1"/>
        <v>28.15</v>
      </c>
      <c r="P75" s="15" t="s">
        <v>44</v>
      </c>
      <c r="Q75" s="15" t="s">
        <v>89</v>
      </c>
      <c r="R75" s="15" t="s">
        <v>115</v>
      </c>
      <c r="S75" s="15" t="s">
        <v>904</v>
      </c>
      <c r="T75" s="15" t="s">
        <v>905</v>
      </c>
      <c r="U75" s="16">
        <v>20.89</v>
      </c>
      <c r="V75" s="16">
        <v>26.08</v>
      </c>
      <c r="W75" s="15">
        <v>25.0</v>
      </c>
      <c r="X75" s="17">
        <f t="shared" si="2"/>
        <v>1.0432</v>
      </c>
      <c r="Y75" s="15" t="s">
        <v>39</v>
      </c>
      <c r="Z75" s="15" t="s">
        <v>45</v>
      </c>
      <c r="AA75" s="15" t="s">
        <v>50</v>
      </c>
      <c r="AB75" s="15" t="s">
        <v>906</v>
      </c>
      <c r="AC75" s="15" t="s">
        <v>907</v>
      </c>
      <c r="AD75" s="16">
        <v>20.89</v>
      </c>
      <c r="AE75" s="16">
        <v>22.83</v>
      </c>
      <c r="AF75" s="15">
        <v>50.0</v>
      </c>
      <c r="AG75" s="17">
        <f t="shared" si="3"/>
        <v>0.4566</v>
      </c>
      <c r="AH75" s="15" t="s">
        <v>44</v>
      </c>
      <c r="AI75" s="15" t="s">
        <v>89</v>
      </c>
      <c r="AJ75" s="15" t="s">
        <v>179</v>
      </c>
      <c r="AK75" s="15" t="s">
        <v>908</v>
      </c>
      <c r="AL75" s="15" t="s">
        <v>909</v>
      </c>
      <c r="AM75" s="16">
        <v>20.89</v>
      </c>
      <c r="AN75" s="16">
        <v>22.77</v>
      </c>
      <c r="AO75" s="15">
        <v>1.0</v>
      </c>
      <c r="AP75" s="17">
        <f t="shared" si="4"/>
        <v>22.77</v>
      </c>
      <c r="AQ75" s="15" t="s">
        <v>44</v>
      </c>
      <c r="AR75" s="15" t="s">
        <v>89</v>
      </c>
      <c r="AS75" s="15" t="s">
        <v>94</v>
      </c>
      <c r="AT75" s="15" t="s">
        <v>57</v>
      </c>
      <c r="AU75" s="15" t="s">
        <v>41</v>
      </c>
    </row>
    <row r="76" ht="30.0" customHeight="1">
      <c r="A76" s="6" t="s">
        <v>910</v>
      </c>
      <c r="B76" s="8" t="s">
        <v>911</v>
      </c>
      <c r="C76" s="8" t="s">
        <v>912</v>
      </c>
      <c r="D76" s="8" t="s">
        <v>61</v>
      </c>
      <c r="E76" s="8" t="s">
        <v>37</v>
      </c>
      <c r="F76" s="8" t="s">
        <v>218</v>
      </c>
      <c r="G76" s="6" t="s">
        <v>39</v>
      </c>
      <c r="H76" s="6" t="s">
        <v>292</v>
      </c>
      <c r="I76" s="6" t="s">
        <v>106</v>
      </c>
      <c r="J76" s="15" t="s">
        <v>913</v>
      </c>
      <c r="K76" s="15" t="s">
        <v>914</v>
      </c>
      <c r="L76" s="16">
        <v>21.34</v>
      </c>
      <c r="M76" s="16">
        <v>23.88</v>
      </c>
      <c r="N76" s="15">
        <v>1.0</v>
      </c>
      <c r="O76" s="17">
        <f t="shared" si="1"/>
        <v>23.88</v>
      </c>
      <c r="P76" s="15" t="s">
        <v>44</v>
      </c>
      <c r="Q76" s="15" t="s">
        <v>89</v>
      </c>
      <c r="R76" s="15" t="s">
        <v>179</v>
      </c>
      <c r="S76" s="15" t="s">
        <v>915</v>
      </c>
      <c r="T76" s="15" t="s">
        <v>916</v>
      </c>
      <c r="U76" s="16">
        <v>21.34</v>
      </c>
      <c r="V76" s="16">
        <v>22.39</v>
      </c>
      <c r="W76" s="15">
        <v>1.0</v>
      </c>
      <c r="X76" s="17">
        <f t="shared" si="2"/>
        <v>22.39</v>
      </c>
      <c r="Y76" s="15" t="s">
        <v>44</v>
      </c>
      <c r="Z76" s="15" t="s">
        <v>45</v>
      </c>
      <c r="AA76" s="15" t="s">
        <v>135</v>
      </c>
      <c r="AB76" s="15" t="s">
        <v>917</v>
      </c>
      <c r="AC76" s="15" t="s">
        <v>918</v>
      </c>
      <c r="AD76" s="16">
        <v>21.34</v>
      </c>
      <c r="AE76" s="16">
        <v>26.09</v>
      </c>
      <c r="AF76" s="15">
        <v>1.0</v>
      </c>
      <c r="AG76" s="17">
        <f t="shared" si="3"/>
        <v>26.09</v>
      </c>
      <c r="AH76" s="15" t="s">
        <v>44</v>
      </c>
      <c r="AI76" s="15" t="s">
        <v>76</v>
      </c>
      <c r="AJ76" s="15" t="s">
        <v>70</v>
      </c>
      <c r="AK76" s="15" t="s">
        <v>919</v>
      </c>
      <c r="AL76" s="15" t="s">
        <v>920</v>
      </c>
      <c r="AM76" s="16">
        <v>21.34</v>
      </c>
      <c r="AN76" s="16">
        <v>25.34</v>
      </c>
      <c r="AO76" s="15">
        <v>1.0</v>
      </c>
      <c r="AP76" s="17">
        <f t="shared" si="4"/>
        <v>25.34</v>
      </c>
      <c r="AQ76" s="15" t="s">
        <v>44</v>
      </c>
      <c r="AR76" s="15" t="s">
        <v>49</v>
      </c>
      <c r="AS76" s="15" t="s">
        <v>179</v>
      </c>
      <c r="AT76" s="15" t="s">
        <v>120</v>
      </c>
      <c r="AU76" s="15" t="s">
        <v>106</v>
      </c>
    </row>
    <row r="77" ht="30.0" customHeight="1">
      <c r="A77" s="6" t="s">
        <v>921</v>
      </c>
      <c r="B77" s="8" t="s">
        <v>922</v>
      </c>
      <c r="C77" s="8" t="s">
        <v>923</v>
      </c>
      <c r="D77" s="8" t="s">
        <v>242</v>
      </c>
      <c r="E77" s="8" t="s">
        <v>126</v>
      </c>
      <c r="F77" s="8" t="s">
        <v>670</v>
      </c>
      <c r="G77" s="6" t="s">
        <v>39</v>
      </c>
      <c r="H77" s="6" t="s">
        <v>398</v>
      </c>
      <c r="I77" s="6" t="s">
        <v>41</v>
      </c>
      <c r="J77" s="15" t="s">
        <v>924</v>
      </c>
      <c r="K77" s="15" t="s">
        <v>925</v>
      </c>
      <c r="L77" s="16">
        <v>73.84</v>
      </c>
      <c r="M77" s="16">
        <v>85.24</v>
      </c>
      <c r="N77" s="15">
        <v>5.0</v>
      </c>
      <c r="O77" s="17">
        <f t="shared" si="1"/>
        <v>17.048</v>
      </c>
      <c r="P77" s="15" t="s">
        <v>44</v>
      </c>
      <c r="Q77" s="15" t="s">
        <v>89</v>
      </c>
      <c r="R77" s="15" t="s">
        <v>94</v>
      </c>
      <c r="S77" s="15" t="s">
        <v>926</v>
      </c>
      <c r="T77" s="15" t="s">
        <v>927</v>
      </c>
      <c r="U77" s="16">
        <v>73.84</v>
      </c>
      <c r="V77" s="16">
        <v>90.59</v>
      </c>
      <c r="W77" s="15">
        <v>1.0</v>
      </c>
      <c r="X77" s="17">
        <f t="shared" si="2"/>
        <v>90.59</v>
      </c>
      <c r="Y77" s="15" t="s">
        <v>44</v>
      </c>
      <c r="Z77" s="15" t="s">
        <v>67</v>
      </c>
      <c r="AA77" s="15" t="s">
        <v>70</v>
      </c>
      <c r="AB77" s="15" t="s">
        <v>928</v>
      </c>
      <c r="AC77" s="15" t="s">
        <v>929</v>
      </c>
      <c r="AD77" s="16">
        <v>73.84</v>
      </c>
      <c r="AE77" s="16">
        <v>92.74</v>
      </c>
      <c r="AF77" s="15">
        <v>5.0</v>
      </c>
      <c r="AG77" s="17">
        <f t="shared" si="3"/>
        <v>18.548</v>
      </c>
      <c r="AH77" s="15" t="s">
        <v>44</v>
      </c>
      <c r="AI77" s="15" t="s">
        <v>67</v>
      </c>
      <c r="AJ77" s="15" t="s">
        <v>135</v>
      </c>
      <c r="AK77" s="15" t="s">
        <v>930</v>
      </c>
      <c r="AL77" s="15" t="s">
        <v>931</v>
      </c>
      <c r="AM77" s="16">
        <v>73.84</v>
      </c>
      <c r="AN77" s="16">
        <v>72.74</v>
      </c>
      <c r="AO77" s="15">
        <v>5.0</v>
      </c>
      <c r="AP77" s="17">
        <f t="shared" si="4"/>
        <v>14.548</v>
      </c>
      <c r="AQ77" s="15" t="s">
        <v>39</v>
      </c>
      <c r="AR77" s="15" t="s">
        <v>49</v>
      </c>
      <c r="AS77" s="15" t="s">
        <v>50</v>
      </c>
      <c r="AT77" s="15" t="s">
        <v>57</v>
      </c>
      <c r="AU77" s="15" t="s">
        <v>41</v>
      </c>
    </row>
    <row r="78" ht="30.0" customHeight="1">
      <c r="A78" s="6" t="s">
        <v>932</v>
      </c>
      <c r="B78" s="8" t="s">
        <v>933</v>
      </c>
      <c r="C78" s="8" t="s">
        <v>934</v>
      </c>
      <c r="D78" s="8" t="s">
        <v>546</v>
      </c>
      <c r="E78" s="8" t="s">
        <v>37</v>
      </c>
      <c r="F78" s="8" t="s">
        <v>38</v>
      </c>
      <c r="G78" s="6" t="s">
        <v>44</v>
      </c>
      <c r="H78" s="6" t="s">
        <v>292</v>
      </c>
      <c r="I78" s="6" t="s">
        <v>106</v>
      </c>
      <c r="J78" s="15" t="s">
        <v>935</v>
      </c>
      <c r="K78" s="15" t="s">
        <v>936</v>
      </c>
      <c r="L78" s="16">
        <v>15.04</v>
      </c>
      <c r="M78" s="16">
        <v>15.48</v>
      </c>
      <c r="N78" s="15">
        <v>1.0</v>
      </c>
      <c r="O78" s="17">
        <f t="shared" si="1"/>
        <v>15.48</v>
      </c>
      <c r="P78" s="15" t="s">
        <v>39</v>
      </c>
      <c r="Q78" s="15" t="s">
        <v>100</v>
      </c>
      <c r="R78" s="15" t="s">
        <v>94</v>
      </c>
      <c r="S78" s="15" t="s">
        <v>937</v>
      </c>
      <c r="T78" s="15" t="s">
        <v>938</v>
      </c>
      <c r="U78" s="16">
        <v>15.04</v>
      </c>
      <c r="V78" s="16">
        <v>17.3</v>
      </c>
      <c r="W78" s="15">
        <v>50.0</v>
      </c>
      <c r="X78" s="17">
        <f t="shared" si="2"/>
        <v>0.346</v>
      </c>
      <c r="Y78" s="15" t="s">
        <v>44</v>
      </c>
      <c r="Z78" s="15" t="s">
        <v>49</v>
      </c>
      <c r="AA78" s="15" t="s">
        <v>53</v>
      </c>
      <c r="AB78" s="15" t="s">
        <v>939</v>
      </c>
      <c r="AC78" s="15" t="s">
        <v>940</v>
      </c>
      <c r="AD78" s="16">
        <v>15.04</v>
      </c>
      <c r="AE78" s="16">
        <v>17.05</v>
      </c>
      <c r="AF78" s="15">
        <v>10.0</v>
      </c>
      <c r="AG78" s="17">
        <f t="shared" si="3"/>
        <v>1.705</v>
      </c>
      <c r="AH78" s="15" t="s">
        <v>44</v>
      </c>
      <c r="AI78" s="15" t="s">
        <v>45</v>
      </c>
      <c r="AJ78" s="15" t="s">
        <v>46</v>
      </c>
      <c r="AK78" s="15" t="s">
        <v>941</v>
      </c>
      <c r="AL78" s="15" t="s">
        <v>942</v>
      </c>
      <c r="AM78" s="16">
        <v>15.04</v>
      </c>
      <c r="AN78" s="16">
        <v>19.34</v>
      </c>
      <c r="AO78" s="15">
        <v>1.0</v>
      </c>
      <c r="AP78" s="17">
        <f t="shared" si="4"/>
        <v>19.34</v>
      </c>
      <c r="AQ78" s="15" t="s">
        <v>39</v>
      </c>
      <c r="AR78" s="15" t="s">
        <v>49</v>
      </c>
      <c r="AS78" s="15" t="s">
        <v>53</v>
      </c>
      <c r="AT78" s="15" t="s">
        <v>57</v>
      </c>
      <c r="AU78" s="15" t="s">
        <v>106</v>
      </c>
    </row>
    <row r="79" ht="30.0" customHeight="1">
      <c r="A79" s="6" t="s">
        <v>943</v>
      </c>
      <c r="B79" s="8" t="s">
        <v>944</v>
      </c>
      <c r="C79" s="8" t="s">
        <v>945</v>
      </c>
      <c r="D79" s="8" t="s">
        <v>278</v>
      </c>
      <c r="E79" s="8" t="s">
        <v>126</v>
      </c>
      <c r="F79" s="8" t="s">
        <v>670</v>
      </c>
      <c r="G79" s="6" t="s">
        <v>44</v>
      </c>
      <c r="H79" s="6" t="s">
        <v>694</v>
      </c>
      <c r="I79" s="6" t="s">
        <v>106</v>
      </c>
      <c r="J79" s="15" t="s">
        <v>946</v>
      </c>
      <c r="K79" s="15" t="s">
        <v>947</v>
      </c>
      <c r="L79" s="16">
        <v>20.6</v>
      </c>
      <c r="M79" s="16">
        <v>23.28</v>
      </c>
      <c r="N79" s="15">
        <v>50.0</v>
      </c>
      <c r="O79" s="17">
        <f t="shared" si="1"/>
        <v>0.4656</v>
      </c>
      <c r="P79" s="15" t="s">
        <v>44</v>
      </c>
      <c r="Q79" s="15" t="s">
        <v>89</v>
      </c>
      <c r="R79" s="15" t="s">
        <v>179</v>
      </c>
      <c r="S79" s="15" t="s">
        <v>948</v>
      </c>
      <c r="T79" s="15" t="s">
        <v>949</v>
      </c>
      <c r="U79" s="16">
        <v>20.6</v>
      </c>
      <c r="V79" s="16">
        <v>19.41</v>
      </c>
      <c r="W79" s="15">
        <v>50.0</v>
      </c>
      <c r="X79" s="17">
        <f t="shared" si="2"/>
        <v>0.3882</v>
      </c>
      <c r="Y79" s="15" t="s">
        <v>39</v>
      </c>
      <c r="Z79" s="15" t="s">
        <v>45</v>
      </c>
      <c r="AA79" s="15" t="s">
        <v>179</v>
      </c>
      <c r="AB79" s="15" t="s">
        <v>950</v>
      </c>
      <c r="AC79" s="15" t="s">
        <v>951</v>
      </c>
      <c r="AD79" s="16">
        <v>20.6</v>
      </c>
      <c r="AE79" s="16">
        <v>25.26</v>
      </c>
      <c r="AF79" s="15">
        <v>50.0</v>
      </c>
      <c r="AG79" s="17">
        <f t="shared" si="3"/>
        <v>0.5052</v>
      </c>
      <c r="AH79" s="15" t="s">
        <v>44</v>
      </c>
      <c r="AI79" s="15" t="s">
        <v>100</v>
      </c>
      <c r="AJ79" s="15" t="s">
        <v>50</v>
      </c>
      <c r="AK79" s="15" t="s">
        <v>952</v>
      </c>
      <c r="AL79" s="15" t="s">
        <v>953</v>
      </c>
      <c r="AM79" s="16">
        <v>20.6</v>
      </c>
      <c r="AN79" s="16">
        <v>21.07</v>
      </c>
      <c r="AO79" s="15">
        <v>100.0</v>
      </c>
      <c r="AP79" s="17">
        <f t="shared" si="4"/>
        <v>0.2107</v>
      </c>
      <c r="AQ79" s="15" t="s">
        <v>44</v>
      </c>
      <c r="AR79" s="15" t="s">
        <v>49</v>
      </c>
      <c r="AS79" s="15" t="s">
        <v>115</v>
      </c>
      <c r="AT79" s="15" t="s">
        <v>57</v>
      </c>
      <c r="AU79" s="15" t="s">
        <v>106</v>
      </c>
    </row>
    <row r="80" ht="30.0" customHeight="1">
      <c r="A80" s="6" t="s">
        <v>954</v>
      </c>
      <c r="B80" s="8" t="s">
        <v>955</v>
      </c>
      <c r="C80" s="8" t="s">
        <v>956</v>
      </c>
      <c r="D80" s="8" t="s">
        <v>317</v>
      </c>
      <c r="E80" s="8" t="s">
        <v>154</v>
      </c>
      <c r="F80" s="8" t="s">
        <v>535</v>
      </c>
      <c r="G80" s="6" t="s">
        <v>39</v>
      </c>
      <c r="H80" s="6" t="s">
        <v>205</v>
      </c>
      <c r="I80" s="6" t="s">
        <v>106</v>
      </c>
      <c r="J80" s="15" t="s">
        <v>957</v>
      </c>
      <c r="K80" s="15" t="s">
        <v>958</v>
      </c>
      <c r="L80" s="16">
        <v>40.59</v>
      </c>
      <c r="M80" s="16">
        <v>49.18</v>
      </c>
      <c r="N80" s="15">
        <v>10.0</v>
      </c>
      <c r="O80" s="17">
        <f t="shared" si="1"/>
        <v>4.918</v>
      </c>
      <c r="P80" s="15" t="s">
        <v>39</v>
      </c>
      <c r="Q80" s="15" t="s">
        <v>49</v>
      </c>
      <c r="R80" s="15" t="s">
        <v>53</v>
      </c>
      <c r="S80" s="15" t="s">
        <v>959</v>
      </c>
      <c r="T80" s="15" t="s">
        <v>960</v>
      </c>
      <c r="U80" s="16">
        <v>40.59</v>
      </c>
      <c r="V80" s="16">
        <v>42.18</v>
      </c>
      <c r="W80" s="15">
        <v>10.0</v>
      </c>
      <c r="X80" s="17">
        <f t="shared" si="2"/>
        <v>4.218</v>
      </c>
      <c r="Y80" s="15" t="s">
        <v>44</v>
      </c>
      <c r="Z80" s="15" t="s">
        <v>67</v>
      </c>
      <c r="AA80" s="15" t="s">
        <v>135</v>
      </c>
      <c r="AB80" s="15" t="s">
        <v>961</v>
      </c>
      <c r="AC80" s="15" t="s">
        <v>962</v>
      </c>
      <c r="AD80" s="16">
        <v>40.59</v>
      </c>
      <c r="AE80" s="16">
        <v>47.55</v>
      </c>
      <c r="AF80" s="15">
        <v>10.0</v>
      </c>
      <c r="AG80" s="17">
        <f t="shared" si="3"/>
        <v>4.755</v>
      </c>
      <c r="AH80" s="15" t="s">
        <v>39</v>
      </c>
      <c r="AI80" s="15" t="s">
        <v>109</v>
      </c>
      <c r="AJ80" s="15" t="s">
        <v>115</v>
      </c>
      <c r="AK80" s="15" t="s">
        <v>963</v>
      </c>
      <c r="AL80" s="15" t="s">
        <v>964</v>
      </c>
      <c r="AM80" s="16">
        <v>40.59</v>
      </c>
      <c r="AN80" s="16">
        <v>41.5</v>
      </c>
      <c r="AO80" s="15">
        <v>10.0</v>
      </c>
      <c r="AP80" s="17">
        <f t="shared" si="4"/>
        <v>4.15</v>
      </c>
      <c r="AQ80" s="15" t="s">
        <v>39</v>
      </c>
      <c r="AR80" s="15" t="s">
        <v>67</v>
      </c>
      <c r="AS80" s="15" t="s">
        <v>135</v>
      </c>
      <c r="AT80" s="15" t="s">
        <v>155</v>
      </c>
      <c r="AU80" s="15" t="s">
        <v>106</v>
      </c>
    </row>
    <row r="81" ht="30.0" customHeight="1">
      <c r="A81" s="6" t="s">
        <v>965</v>
      </c>
      <c r="B81" s="8" t="s">
        <v>966</v>
      </c>
      <c r="C81" s="8" t="s">
        <v>967</v>
      </c>
      <c r="D81" s="8" t="s">
        <v>278</v>
      </c>
      <c r="E81" s="8" t="s">
        <v>126</v>
      </c>
      <c r="F81" s="8" t="s">
        <v>670</v>
      </c>
      <c r="G81" s="6" t="s">
        <v>39</v>
      </c>
      <c r="H81" s="6" t="s">
        <v>40</v>
      </c>
      <c r="I81" s="6" t="s">
        <v>106</v>
      </c>
      <c r="J81" s="15" t="s">
        <v>968</v>
      </c>
      <c r="K81" s="15" t="s">
        <v>969</v>
      </c>
      <c r="L81" s="16">
        <v>41.94</v>
      </c>
      <c r="M81" s="16">
        <v>40.68</v>
      </c>
      <c r="N81" s="15">
        <v>12.0</v>
      </c>
      <c r="O81" s="17">
        <f t="shared" si="1"/>
        <v>3.39</v>
      </c>
      <c r="P81" s="15" t="s">
        <v>44</v>
      </c>
      <c r="Q81" s="15" t="s">
        <v>67</v>
      </c>
      <c r="R81" s="15" t="s">
        <v>179</v>
      </c>
      <c r="S81" s="15" t="s">
        <v>970</v>
      </c>
      <c r="T81" s="15" t="s">
        <v>971</v>
      </c>
      <c r="U81" s="16">
        <v>41.94</v>
      </c>
      <c r="V81" s="16">
        <v>51.81</v>
      </c>
      <c r="W81" s="15">
        <v>25.0</v>
      </c>
      <c r="X81" s="17">
        <f t="shared" si="2"/>
        <v>2.0724</v>
      </c>
      <c r="Y81" s="15" t="s">
        <v>44</v>
      </c>
      <c r="Z81" s="15" t="s">
        <v>67</v>
      </c>
      <c r="AA81" s="15" t="s">
        <v>94</v>
      </c>
      <c r="AB81" s="15" t="s">
        <v>972</v>
      </c>
      <c r="AC81" s="15" t="s">
        <v>973</v>
      </c>
      <c r="AD81" s="16">
        <v>41.94</v>
      </c>
      <c r="AE81" s="16">
        <v>46.34</v>
      </c>
      <c r="AF81" s="15">
        <v>1.0</v>
      </c>
      <c r="AG81" s="17">
        <f t="shared" si="3"/>
        <v>46.34</v>
      </c>
      <c r="AH81" s="15" t="s">
        <v>39</v>
      </c>
      <c r="AI81" s="15" t="s">
        <v>49</v>
      </c>
      <c r="AJ81" s="15" t="s">
        <v>94</v>
      </c>
      <c r="AK81" s="15" t="s">
        <v>974</v>
      </c>
      <c r="AL81" s="15" t="s">
        <v>975</v>
      </c>
      <c r="AM81" s="16">
        <v>41.94</v>
      </c>
      <c r="AN81" s="16">
        <v>42.31</v>
      </c>
      <c r="AO81" s="15">
        <v>1.0</v>
      </c>
      <c r="AP81" s="17">
        <f t="shared" si="4"/>
        <v>42.31</v>
      </c>
      <c r="AQ81" s="15" t="s">
        <v>44</v>
      </c>
      <c r="AR81" s="15" t="s">
        <v>76</v>
      </c>
      <c r="AS81" s="15" t="s">
        <v>73</v>
      </c>
      <c r="AT81" s="15" t="s">
        <v>155</v>
      </c>
      <c r="AU81" s="15" t="s">
        <v>106</v>
      </c>
    </row>
    <row r="82" ht="30.0" customHeight="1">
      <c r="A82" s="6" t="s">
        <v>976</v>
      </c>
      <c r="B82" s="8" t="s">
        <v>977</v>
      </c>
      <c r="C82" s="8" t="s">
        <v>124</v>
      </c>
      <c r="D82" s="8" t="s">
        <v>191</v>
      </c>
      <c r="E82" s="8" t="s">
        <v>81</v>
      </c>
      <c r="F82" s="8" t="s">
        <v>150</v>
      </c>
      <c r="G82" s="6" t="s">
        <v>44</v>
      </c>
      <c r="H82" s="6" t="s">
        <v>559</v>
      </c>
      <c r="I82" s="6" t="s">
        <v>41</v>
      </c>
      <c r="J82" s="15" t="s">
        <v>978</v>
      </c>
      <c r="K82" s="15" t="s">
        <v>979</v>
      </c>
      <c r="L82" s="16">
        <v>14.51</v>
      </c>
      <c r="M82" s="16">
        <v>17.8</v>
      </c>
      <c r="N82" s="15">
        <v>50.0</v>
      </c>
      <c r="O82" s="17">
        <f t="shared" si="1"/>
        <v>0.356</v>
      </c>
      <c r="P82" s="15" t="s">
        <v>44</v>
      </c>
      <c r="Q82" s="15" t="s">
        <v>89</v>
      </c>
      <c r="R82" s="15" t="s">
        <v>94</v>
      </c>
      <c r="S82" s="15" t="s">
        <v>980</v>
      </c>
      <c r="T82" s="15" t="s">
        <v>981</v>
      </c>
      <c r="U82" s="16">
        <v>14.51</v>
      </c>
      <c r="V82" s="16">
        <v>16.85</v>
      </c>
      <c r="W82" s="15">
        <v>12.0</v>
      </c>
      <c r="X82" s="17">
        <f t="shared" si="2"/>
        <v>1.404166667</v>
      </c>
      <c r="Y82" s="15" t="s">
        <v>39</v>
      </c>
      <c r="Z82" s="15" t="s">
        <v>45</v>
      </c>
      <c r="AA82" s="15" t="s">
        <v>70</v>
      </c>
      <c r="AB82" s="15" t="s">
        <v>982</v>
      </c>
      <c r="AC82" s="15" t="s">
        <v>983</v>
      </c>
      <c r="AD82" s="16">
        <v>14.51</v>
      </c>
      <c r="AE82" s="16">
        <v>19.4</v>
      </c>
      <c r="AF82" s="15">
        <v>50.0</v>
      </c>
      <c r="AG82" s="17">
        <f t="shared" si="3"/>
        <v>0.388</v>
      </c>
      <c r="AH82" s="15" t="s">
        <v>39</v>
      </c>
      <c r="AI82" s="15" t="s">
        <v>49</v>
      </c>
      <c r="AJ82" s="15" t="s">
        <v>73</v>
      </c>
      <c r="AK82" s="15" t="s">
        <v>984</v>
      </c>
      <c r="AL82" s="15" t="s">
        <v>985</v>
      </c>
      <c r="AM82" s="16">
        <v>14.51</v>
      </c>
      <c r="AN82" s="16">
        <v>14.88</v>
      </c>
      <c r="AO82" s="15">
        <v>1.0</v>
      </c>
      <c r="AP82" s="17">
        <f t="shared" si="4"/>
        <v>14.88</v>
      </c>
      <c r="AQ82" s="15" t="s">
        <v>39</v>
      </c>
      <c r="AR82" s="15" t="s">
        <v>100</v>
      </c>
      <c r="AS82" s="15" t="s">
        <v>50</v>
      </c>
      <c r="AT82" s="15" t="s">
        <v>57</v>
      </c>
      <c r="AU82" s="15" t="s">
        <v>41</v>
      </c>
    </row>
    <row r="83" ht="30.0" customHeight="1">
      <c r="A83" s="6" t="s">
        <v>986</v>
      </c>
      <c r="B83" s="8" t="s">
        <v>987</v>
      </c>
      <c r="C83" s="8" t="s">
        <v>988</v>
      </c>
      <c r="D83" s="8" t="s">
        <v>36</v>
      </c>
      <c r="E83" s="8" t="s">
        <v>141</v>
      </c>
      <c r="F83" s="8" t="s">
        <v>255</v>
      </c>
      <c r="G83" s="6" t="s">
        <v>39</v>
      </c>
      <c r="H83" s="6" t="s">
        <v>129</v>
      </c>
      <c r="I83" s="6" t="s">
        <v>106</v>
      </c>
      <c r="J83" s="15" t="s">
        <v>989</v>
      </c>
      <c r="K83" s="15" t="s">
        <v>990</v>
      </c>
      <c r="L83" s="16">
        <v>18.05</v>
      </c>
      <c r="M83" s="16">
        <v>18.9</v>
      </c>
      <c r="N83" s="15">
        <v>1.0</v>
      </c>
      <c r="O83" s="17">
        <f t="shared" si="1"/>
        <v>18.9</v>
      </c>
      <c r="P83" s="15" t="s">
        <v>39</v>
      </c>
      <c r="Q83" s="15" t="s">
        <v>49</v>
      </c>
      <c r="R83" s="15" t="s">
        <v>94</v>
      </c>
      <c r="S83" s="15" t="s">
        <v>991</v>
      </c>
      <c r="T83" s="15" t="s">
        <v>992</v>
      </c>
      <c r="U83" s="16">
        <v>18.05</v>
      </c>
      <c r="V83" s="16">
        <v>19.36</v>
      </c>
      <c r="W83" s="15">
        <v>1.0</v>
      </c>
      <c r="X83" s="17">
        <f t="shared" si="2"/>
        <v>19.36</v>
      </c>
      <c r="Y83" s="15" t="s">
        <v>39</v>
      </c>
      <c r="Z83" s="15" t="s">
        <v>49</v>
      </c>
      <c r="AA83" s="15" t="s">
        <v>115</v>
      </c>
      <c r="AB83" s="15" t="s">
        <v>993</v>
      </c>
      <c r="AC83" s="15" t="s">
        <v>994</v>
      </c>
      <c r="AD83" s="16">
        <v>18.05</v>
      </c>
      <c r="AE83" s="16">
        <v>21.51</v>
      </c>
      <c r="AF83" s="15">
        <v>1.0</v>
      </c>
      <c r="AG83" s="17">
        <f t="shared" si="3"/>
        <v>21.51</v>
      </c>
      <c r="AH83" s="15" t="s">
        <v>44</v>
      </c>
      <c r="AI83" s="15" t="s">
        <v>89</v>
      </c>
      <c r="AJ83" s="15" t="s">
        <v>94</v>
      </c>
      <c r="AK83" s="15" t="s">
        <v>995</v>
      </c>
      <c r="AL83" s="15" t="s">
        <v>996</v>
      </c>
      <c r="AM83" s="16">
        <v>18.05</v>
      </c>
      <c r="AN83" s="16">
        <v>23.65</v>
      </c>
      <c r="AO83" s="15">
        <v>25.0</v>
      </c>
      <c r="AP83" s="17">
        <f t="shared" si="4"/>
        <v>0.946</v>
      </c>
      <c r="AQ83" s="15" t="s">
        <v>39</v>
      </c>
      <c r="AR83" s="15" t="s">
        <v>109</v>
      </c>
      <c r="AS83" s="15" t="s">
        <v>56</v>
      </c>
      <c r="AT83" s="15" t="s">
        <v>57</v>
      </c>
      <c r="AU83" s="15" t="s">
        <v>106</v>
      </c>
    </row>
    <row r="84" ht="30.0" customHeight="1">
      <c r="A84" s="6" t="s">
        <v>997</v>
      </c>
      <c r="B84" s="8" t="s">
        <v>998</v>
      </c>
      <c r="C84" s="8" t="s">
        <v>999</v>
      </c>
      <c r="D84" s="8" t="s">
        <v>242</v>
      </c>
      <c r="E84" s="8" t="s">
        <v>154</v>
      </c>
      <c r="F84" s="8" t="s">
        <v>535</v>
      </c>
      <c r="G84" s="6" t="s">
        <v>44</v>
      </c>
      <c r="H84" s="6" t="s">
        <v>398</v>
      </c>
      <c r="I84" s="6" t="s">
        <v>106</v>
      </c>
      <c r="J84" s="15" t="s">
        <v>1000</v>
      </c>
      <c r="K84" s="15" t="s">
        <v>1001</v>
      </c>
      <c r="L84" s="16">
        <v>72.15</v>
      </c>
      <c r="M84" s="16">
        <v>90.11</v>
      </c>
      <c r="N84" s="15">
        <v>100.0</v>
      </c>
      <c r="O84" s="17">
        <f t="shared" si="1"/>
        <v>0.9011</v>
      </c>
      <c r="P84" s="15" t="s">
        <v>44</v>
      </c>
      <c r="Q84" s="15" t="s">
        <v>109</v>
      </c>
      <c r="R84" s="15" t="s">
        <v>56</v>
      </c>
      <c r="S84" s="15" t="s">
        <v>1002</v>
      </c>
      <c r="T84" s="15" t="s">
        <v>1003</v>
      </c>
      <c r="U84" s="16">
        <v>72.15</v>
      </c>
      <c r="V84" s="16">
        <v>95.38</v>
      </c>
      <c r="W84" s="15">
        <v>1.0</v>
      </c>
      <c r="X84" s="17">
        <f t="shared" si="2"/>
        <v>95.38</v>
      </c>
      <c r="Y84" s="15" t="s">
        <v>44</v>
      </c>
      <c r="Z84" s="15" t="s">
        <v>67</v>
      </c>
      <c r="AA84" s="15" t="s">
        <v>46</v>
      </c>
      <c r="AB84" s="15" t="s">
        <v>1004</v>
      </c>
      <c r="AC84" s="15" t="s">
        <v>1005</v>
      </c>
      <c r="AD84" s="16">
        <v>72.15</v>
      </c>
      <c r="AE84" s="16">
        <v>85.07</v>
      </c>
      <c r="AF84" s="15">
        <v>1.0</v>
      </c>
      <c r="AG84" s="17">
        <f t="shared" si="3"/>
        <v>85.07</v>
      </c>
      <c r="AH84" s="15" t="s">
        <v>39</v>
      </c>
      <c r="AI84" s="15" t="s">
        <v>49</v>
      </c>
      <c r="AJ84" s="15" t="s">
        <v>70</v>
      </c>
      <c r="AK84" s="15" t="s">
        <v>1006</v>
      </c>
      <c r="AL84" s="15" t="s">
        <v>1007</v>
      </c>
      <c r="AM84" s="16">
        <v>72.15</v>
      </c>
      <c r="AN84" s="16">
        <v>93.39</v>
      </c>
      <c r="AO84" s="15">
        <v>1.0</v>
      </c>
      <c r="AP84" s="17">
        <f t="shared" si="4"/>
        <v>93.39</v>
      </c>
      <c r="AQ84" s="15" t="s">
        <v>44</v>
      </c>
      <c r="AR84" s="15" t="s">
        <v>89</v>
      </c>
      <c r="AS84" s="15" t="s">
        <v>53</v>
      </c>
      <c r="AT84" s="15" t="s">
        <v>57</v>
      </c>
      <c r="AU84" s="15" t="s">
        <v>106</v>
      </c>
    </row>
    <row r="85" ht="30.0" customHeight="1">
      <c r="A85" s="6" t="s">
        <v>1008</v>
      </c>
      <c r="B85" s="8" t="s">
        <v>1009</v>
      </c>
      <c r="C85" s="8" t="s">
        <v>316</v>
      </c>
      <c r="D85" s="8" t="s">
        <v>278</v>
      </c>
      <c r="E85" s="8" t="s">
        <v>154</v>
      </c>
      <c r="F85" s="8" t="s">
        <v>535</v>
      </c>
      <c r="G85" s="6" t="s">
        <v>39</v>
      </c>
      <c r="H85" s="6" t="s">
        <v>489</v>
      </c>
      <c r="I85" s="6" t="s">
        <v>41</v>
      </c>
      <c r="J85" s="15" t="s">
        <v>1010</v>
      </c>
      <c r="K85" s="15" t="s">
        <v>1011</v>
      </c>
      <c r="L85" s="16">
        <v>60.29</v>
      </c>
      <c r="M85" s="16">
        <v>64.01</v>
      </c>
      <c r="N85" s="15">
        <v>1.0</v>
      </c>
      <c r="O85" s="17">
        <f t="shared" si="1"/>
        <v>64.01</v>
      </c>
      <c r="P85" s="15" t="s">
        <v>44</v>
      </c>
      <c r="Q85" s="15" t="s">
        <v>89</v>
      </c>
      <c r="R85" s="15" t="s">
        <v>70</v>
      </c>
      <c r="S85" s="15" t="s">
        <v>1012</v>
      </c>
      <c r="T85" s="15" t="s">
        <v>1013</v>
      </c>
      <c r="U85" s="16">
        <v>60.29</v>
      </c>
      <c r="V85" s="16">
        <v>65.34</v>
      </c>
      <c r="W85" s="15">
        <v>1.0</v>
      </c>
      <c r="X85" s="17">
        <f t="shared" si="2"/>
        <v>65.34</v>
      </c>
      <c r="Y85" s="15" t="s">
        <v>44</v>
      </c>
      <c r="Z85" s="15" t="s">
        <v>89</v>
      </c>
      <c r="AA85" s="15" t="s">
        <v>179</v>
      </c>
      <c r="AB85" s="15" t="s">
        <v>1014</v>
      </c>
      <c r="AC85" s="15" t="s">
        <v>1015</v>
      </c>
      <c r="AD85" s="16">
        <v>60.29</v>
      </c>
      <c r="AE85" s="16">
        <v>76.53</v>
      </c>
      <c r="AF85" s="15">
        <v>1.0</v>
      </c>
      <c r="AG85" s="17">
        <f t="shared" si="3"/>
        <v>76.53</v>
      </c>
      <c r="AH85" s="15" t="s">
        <v>44</v>
      </c>
      <c r="AI85" s="15" t="s">
        <v>67</v>
      </c>
      <c r="AJ85" s="15" t="s">
        <v>73</v>
      </c>
      <c r="AK85" s="15" t="s">
        <v>1016</v>
      </c>
      <c r="AL85" s="15" t="s">
        <v>1017</v>
      </c>
      <c r="AM85" s="16">
        <v>60.29</v>
      </c>
      <c r="AN85" s="16">
        <v>72.51</v>
      </c>
      <c r="AO85" s="15">
        <v>1.0</v>
      </c>
      <c r="AP85" s="17">
        <f t="shared" si="4"/>
        <v>72.51</v>
      </c>
      <c r="AQ85" s="15" t="s">
        <v>39</v>
      </c>
      <c r="AR85" s="15" t="s">
        <v>45</v>
      </c>
      <c r="AS85" s="15" t="s">
        <v>179</v>
      </c>
      <c r="AT85" s="15" t="s">
        <v>57</v>
      </c>
      <c r="AU85" s="15" t="s">
        <v>41</v>
      </c>
    </row>
    <row r="86" ht="30.0" customHeight="1">
      <c r="A86" s="6" t="s">
        <v>1018</v>
      </c>
      <c r="B86" s="8" t="s">
        <v>1019</v>
      </c>
      <c r="C86" s="8" t="s">
        <v>1020</v>
      </c>
      <c r="D86" s="8" t="s">
        <v>191</v>
      </c>
      <c r="E86" s="8" t="s">
        <v>37</v>
      </c>
      <c r="F86" s="8" t="s">
        <v>38</v>
      </c>
      <c r="G86" s="6" t="s">
        <v>44</v>
      </c>
      <c r="H86" s="6" t="s">
        <v>340</v>
      </c>
      <c r="I86" s="6" t="s">
        <v>106</v>
      </c>
      <c r="J86" s="15" t="s">
        <v>1021</v>
      </c>
      <c r="K86" s="15" t="s">
        <v>1022</v>
      </c>
      <c r="L86" s="16">
        <v>50.76</v>
      </c>
      <c r="M86" s="16">
        <v>62.24</v>
      </c>
      <c r="N86" s="15">
        <v>5.0</v>
      </c>
      <c r="O86" s="17">
        <f t="shared" si="1"/>
        <v>12.448</v>
      </c>
      <c r="P86" s="15" t="s">
        <v>39</v>
      </c>
      <c r="Q86" s="15" t="s">
        <v>67</v>
      </c>
      <c r="R86" s="15" t="s">
        <v>115</v>
      </c>
      <c r="S86" s="15" t="s">
        <v>1023</v>
      </c>
      <c r="T86" s="15" t="s">
        <v>1024</v>
      </c>
      <c r="U86" s="16">
        <v>50.76</v>
      </c>
      <c r="V86" s="16">
        <v>47.54</v>
      </c>
      <c r="W86" s="15">
        <v>100.0</v>
      </c>
      <c r="X86" s="17">
        <f t="shared" si="2"/>
        <v>0.4754</v>
      </c>
      <c r="Y86" s="15" t="s">
        <v>39</v>
      </c>
      <c r="Z86" s="15" t="s">
        <v>89</v>
      </c>
      <c r="AA86" s="15" t="s">
        <v>179</v>
      </c>
      <c r="AB86" s="15" t="s">
        <v>1025</v>
      </c>
      <c r="AC86" s="15" t="s">
        <v>1026</v>
      </c>
      <c r="AD86" s="16">
        <v>50.76</v>
      </c>
      <c r="AE86" s="16">
        <v>50.67</v>
      </c>
      <c r="AF86" s="15">
        <v>1.0</v>
      </c>
      <c r="AG86" s="17">
        <f t="shared" si="3"/>
        <v>50.67</v>
      </c>
      <c r="AH86" s="15" t="s">
        <v>44</v>
      </c>
      <c r="AI86" s="15" t="s">
        <v>45</v>
      </c>
      <c r="AJ86" s="15" t="s">
        <v>56</v>
      </c>
      <c r="AK86" s="15" t="s">
        <v>1027</v>
      </c>
      <c r="AL86" s="15" t="s">
        <v>1028</v>
      </c>
      <c r="AM86" s="16">
        <v>50.76</v>
      </c>
      <c r="AN86" s="16">
        <v>59.48</v>
      </c>
      <c r="AO86" s="15">
        <v>50.0</v>
      </c>
      <c r="AP86" s="17">
        <f t="shared" si="4"/>
        <v>1.1896</v>
      </c>
      <c r="AQ86" s="15" t="s">
        <v>44</v>
      </c>
      <c r="AR86" s="15" t="s">
        <v>45</v>
      </c>
      <c r="AS86" s="15" t="s">
        <v>53</v>
      </c>
      <c r="AT86" s="15" t="s">
        <v>57</v>
      </c>
      <c r="AU86" s="15" t="s">
        <v>106</v>
      </c>
    </row>
    <row r="87" ht="30.0" customHeight="1">
      <c r="A87" s="6" t="s">
        <v>1029</v>
      </c>
      <c r="B87" s="8" t="s">
        <v>1030</v>
      </c>
      <c r="C87" s="8" t="s">
        <v>60</v>
      </c>
      <c r="D87" s="8" t="s">
        <v>242</v>
      </c>
      <c r="E87" s="8" t="s">
        <v>81</v>
      </c>
      <c r="F87" s="8" t="s">
        <v>150</v>
      </c>
      <c r="G87" s="6" t="s">
        <v>39</v>
      </c>
      <c r="H87" s="6" t="s">
        <v>501</v>
      </c>
      <c r="I87" s="6" t="s">
        <v>41</v>
      </c>
      <c r="J87" s="15" t="s">
        <v>1031</v>
      </c>
      <c r="K87" s="15" t="s">
        <v>1032</v>
      </c>
      <c r="L87" s="16">
        <v>73.81</v>
      </c>
      <c r="M87" s="16">
        <v>88.25</v>
      </c>
      <c r="N87" s="15">
        <v>1.0</v>
      </c>
      <c r="O87" s="17">
        <f t="shared" si="1"/>
        <v>88.25</v>
      </c>
      <c r="P87" s="15" t="s">
        <v>44</v>
      </c>
      <c r="Q87" s="15" t="s">
        <v>100</v>
      </c>
      <c r="R87" s="15" t="s">
        <v>73</v>
      </c>
      <c r="S87" s="15" t="s">
        <v>1033</v>
      </c>
      <c r="T87" s="15" t="s">
        <v>1034</v>
      </c>
      <c r="U87" s="16">
        <v>73.81</v>
      </c>
      <c r="V87" s="16">
        <v>87.39</v>
      </c>
      <c r="W87" s="15">
        <v>50.0</v>
      </c>
      <c r="X87" s="17">
        <f t="shared" si="2"/>
        <v>1.7478</v>
      </c>
      <c r="Y87" s="15" t="s">
        <v>39</v>
      </c>
      <c r="Z87" s="15" t="s">
        <v>67</v>
      </c>
      <c r="AA87" s="15" t="s">
        <v>50</v>
      </c>
      <c r="AB87" s="15" t="s">
        <v>1035</v>
      </c>
      <c r="AC87" s="15" t="s">
        <v>1036</v>
      </c>
      <c r="AD87" s="16">
        <v>73.81</v>
      </c>
      <c r="AE87" s="16">
        <v>94.55</v>
      </c>
      <c r="AF87" s="15">
        <v>25.0</v>
      </c>
      <c r="AG87" s="17">
        <f t="shared" si="3"/>
        <v>3.782</v>
      </c>
      <c r="AH87" s="15" t="s">
        <v>39</v>
      </c>
      <c r="AI87" s="15" t="s">
        <v>67</v>
      </c>
      <c r="AJ87" s="15" t="s">
        <v>70</v>
      </c>
      <c r="AK87" s="15" t="s">
        <v>1037</v>
      </c>
      <c r="AL87" s="15" t="s">
        <v>1038</v>
      </c>
      <c r="AM87" s="16">
        <v>73.81</v>
      </c>
      <c r="AN87" s="16">
        <v>83.47</v>
      </c>
      <c r="AO87" s="15">
        <v>1.0</v>
      </c>
      <c r="AP87" s="17">
        <f t="shared" si="4"/>
        <v>83.47</v>
      </c>
      <c r="AQ87" s="15" t="s">
        <v>44</v>
      </c>
      <c r="AR87" s="15" t="s">
        <v>45</v>
      </c>
      <c r="AS87" s="15" t="s">
        <v>56</v>
      </c>
      <c r="AT87" s="15" t="s">
        <v>57</v>
      </c>
      <c r="AU87" s="15" t="s">
        <v>41</v>
      </c>
    </row>
    <row r="88" ht="30.0" customHeight="1">
      <c r="A88" s="6" t="s">
        <v>1039</v>
      </c>
      <c r="B88" s="8" t="s">
        <v>1040</v>
      </c>
      <c r="C88" s="8" t="s">
        <v>1041</v>
      </c>
      <c r="D88" s="8" t="s">
        <v>80</v>
      </c>
      <c r="E88" s="8" t="s">
        <v>166</v>
      </c>
      <c r="F88" s="8" t="s">
        <v>432</v>
      </c>
      <c r="G88" s="6" t="s">
        <v>39</v>
      </c>
      <c r="H88" s="6" t="s">
        <v>694</v>
      </c>
      <c r="I88" s="6" t="s">
        <v>106</v>
      </c>
      <c r="J88" s="15" t="s">
        <v>1042</v>
      </c>
      <c r="K88" s="15" t="s">
        <v>1043</v>
      </c>
      <c r="L88" s="16">
        <v>32.37</v>
      </c>
      <c r="M88" s="16">
        <v>44.69</v>
      </c>
      <c r="N88" s="15">
        <v>1.0</v>
      </c>
      <c r="O88" s="17">
        <f t="shared" si="1"/>
        <v>44.69</v>
      </c>
      <c r="P88" s="15" t="s">
        <v>44</v>
      </c>
      <c r="Q88" s="15" t="s">
        <v>49</v>
      </c>
      <c r="R88" s="15" t="s">
        <v>50</v>
      </c>
      <c r="S88" s="15" t="s">
        <v>1044</v>
      </c>
      <c r="T88" s="15" t="s">
        <v>1045</v>
      </c>
      <c r="U88" s="16">
        <v>32.37</v>
      </c>
      <c r="V88" s="16">
        <v>43.86</v>
      </c>
      <c r="W88" s="15">
        <v>10.0</v>
      </c>
      <c r="X88" s="17">
        <f t="shared" si="2"/>
        <v>4.386</v>
      </c>
      <c r="Y88" s="15" t="s">
        <v>44</v>
      </c>
      <c r="Z88" s="15" t="s">
        <v>45</v>
      </c>
      <c r="AA88" s="15" t="s">
        <v>179</v>
      </c>
      <c r="AB88" s="15" t="s">
        <v>1046</v>
      </c>
      <c r="AC88" s="15" t="s">
        <v>1047</v>
      </c>
      <c r="AD88" s="16">
        <v>32.37</v>
      </c>
      <c r="AE88" s="16">
        <v>45.09</v>
      </c>
      <c r="AF88" s="15">
        <v>1.0</v>
      </c>
      <c r="AG88" s="17">
        <f t="shared" si="3"/>
        <v>45.09</v>
      </c>
      <c r="AH88" s="15" t="s">
        <v>44</v>
      </c>
      <c r="AI88" s="15" t="s">
        <v>89</v>
      </c>
      <c r="AJ88" s="15" t="s">
        <v>179</v>
      </c>
      <c r="AK88" s="15" t="s">
        <v>1048</v>
      </c>
      <c r="AL88" s="15" t="s">
        <v>1049</v>
      </c>
      <c r="AM88" s="16">
        <v>32.37</v>
      </c>
      <c r="AN88" s="16">
        <v>40.22</v>
      </c>
      <c r="AO88" s="15">
        <v>1.0</v>
      </c>
      <c r="AP88" s="17">
        <f t="shared" si="4"/>
        <v>40.22</v>
      </c>
      <c r="AQ88" s="15" t="s">
        <v>44</v>
      </c>
      <c r="AR88" s="15" t="s">
        <v>67</v>
      </c>
      <c r="AS88" s="15" t="s">
        <v>70</v>
      </c>
      <c r="AT88" s="15" t="s">
        <v>155</v>
      </c>
      <c r="AU88" s="15" t="s">
        <v>106</v>
      </c>
    </row>
    <row r="89" ht="30.0" customHeight="1">
      <c r="A89" s="6" t="s">
        <v>1050</v>
      </c>
      <c r="B89" s="8" t="s">
        <v>1051</v>
      </c>
      <c r="C89" s="8" t="s">
        <v>1052</v>
      </c>
      <c r="D89" s="8" t="s">
        <v>36</v>
      </c>
      <c r="E89" s="8" t="s">
        <v>162</v>
      </c>
      <c r="F89" s="8" t="s">
        <v>204</v>
      </c>
      <c r="G89" s="6" t="s">
        <v>39</v>
      </c>
      <c r="H89" s="6" t="s">
        <v>64</v>
      </c>
      <c r="I89" s="6" t="s">
        <v>41</v>
      </c>
      <c r="J89" s="15" t="s">
        <v>1053</v>
      </c>
      <c r="K89" s="15" t="s">
        <v>1054</v>
      </c>
      <c r="L89" s="16">
        <v>52.16</v>
      </c>
      <c r="M89" s="16">
        <v>56.25</v>
      </c>
      <c r="N89" s="15">
        <v>25.0</v>
      </c>
      <c r="O89" s="17">
        <f t="shared" si="1"/>
        <v>2.25</v>
      </c>
      <c r="P89" s="15" t="s">
        <v>44</v>
      </c>
      <c r="Q89" s="15" t="s">
        <v>67</v>
      </c>
      <c r="R89" s="15" t="s">
        <v>94</v>
      </c>
      <c r="S89" s="15" t="s">
        <v>1055</v>
      </c>
      <c r="T89" s="15" t="s">
        <v>1056</v>
      </c>
      <c r="U89" s="16">
        <v>52.16</v>
      </c>
      <c r="V89" s="16">
        <v>69.28</v>
      </c>
      <c r="W89" s="15">
        <v>100.0</v>
      </c>
      <c r="X89" s="17">
        <f t="shared" si="2"/>
        <v>0.6928</v>
      </c>
      <c r="Y89" s="15" t="s">
        <v>39</v>
      </c>
      <c r="Z89" s="15" t="s">
        <v>45</v>
      </c>
      <c r="AA89" s="15" t="s">
        <v>56</v>
      </c>
      <c r="AB89" s="15" t="s">
        <v>1057</v>
      </c>
      <c r="AC89" s="15" t="s">
        <v>1058</v>
      </c>
      <c r="AD89" s="16">
        <v>52.16</v>
      </c>
      <c r="AE89" s="16">
        <v>58.44</v>
      </c>
      <c r="AF89" s="15">
        <v>1.0</v>
      </c>
      <c r="AG89" s="17">
        <f t="shared" si="3"/>
        <v>58.44</v>
      </c>
      <c r="AH89" s="15" t="s">
        <v>44</v>
      </c>
      <c r="AI89" s="15" t="s">
        <v>100</v>
      </c>
      <c r="AJ89" s="15" t="s">
        <v>179</v>
      </c>
      <c r="AK89" s="15" t="s">
        <v>1059</v>
      </c>
      <c r="AL89" s="15" t="s">
        <v>1060</v>
      </c>
      <c r="AM89" s="16">
        <v>52.16</v>
      </c>
      <c r="AN89" s="16">
        <v>54.83</v>
      </c>
      <c r="AO89" s="15">
        <v>25.0</v>
      </c>
      <c r="AP89" s="17">
        <f t="shared" si="4"/>
        <v>2.1932</v>
      </c>
      <c r="AQ89" s="15" t="s">
        <v>44</v>
      </c>
      <c r="AR89" s="15" t="s">
        <v>67</v>
      </c>
      <c r="AS89" s="15" t="s">
        <v>56</v>
      </c>
      <c r="AT89" s="15" t="s">
        <v>120</v>
      </c>
      <c r="AU89" s="15" t="s">
        <v>41</v>
      </c>
    </row>
    <row r="90" ht="30.0" customHeight="1">
      <c r="A90" s="6" t="s">
        <v>1061</v>
      </c>
      <c r="B90" s="8" t="s">
        <v>1062</v>
      </c>
      <c r="C90" s="8" t="s">
        <v>1063</v>
      </c>
      <c r="D90" s="8" t="s">
        <v>80</v>
      </c>
      <c r="E90" s="8" t="s">
        <v>81</v>
      </c>
      <c r="F90" s="8" t="s">
        <v>150</v>
      </c>
      <c r="G90" s="6" t="s">
        <v>39</v>
      </c>
      <c r="H90" s="6" t="s">
        <v>83</v>
      </c>
      <c r="I90" s="6" t="s">
        <v>106</v>
      </c>
      <c r="J90" s="15" t="s">
        <v>1064</v>
      </c>
      <c r="K90" s="15" t="s">
        <v>1065</v>
      </c>
      <c r="L90" s="16">
        <v>14.0</v>
      </c>
      <c r="M90" s="16">
        <v>17.7</v>
      </c>
      <c r="N90" s="15">
        <v>50.0</v>
      </c>
      <c r="O90" s="17">
        <f t="shared" si="1"/>
        <v>0.354</v>
      </c>
      <c r="P90" s="15" t="s">
        <v>44</v>
      </c>
      <c r="Q90" s="15" t="s">
        <v>67</v>
      </c>
      <c r="R90" s="15" t="s">
        <v>56</v>
      </c>
      <c r="S90" s="15" t="s">
        <v>1066</v>
      </c>
      <c r="T90" s="15" t="s">
        <v>1067</v>
      </c>
      <c r="U90" s="16">
        <v>14.0</v>
      </c>
      <c r="V90" s="16">
        <v>16.92</v>
      </c>
      <c r="W90" s="15">
        <v>50.0</v>
      </c>
      <c r="X90" s="17">
        <f t="shared" si="2"/>
        <v>0.3384</v>
      </c>
      <c r="Y90" s="15" t="s">
        <v>39</v>
      </c>
      <c r="Z90" s="15" t="s">
        <v>67</v>
      </c>
      <c r="AA90" s="15" t="s">
        <v>56</v>
      </c>
      <c r="AB90" s="15" t="s">
        <v>1068</v>
      </c>
      <c r="AC90" s="15" t="s">
        <v>1069</v>
      </c>
      <c r="AD90" s="16">
        <v>14.0</v>
      </c>
      <c r="AE90" s="16">
        <v>18.21</v>
      </c>
      <c r="AF90" s="15">
        <v>1.0</v>
      </c>
      <c r="AG90" s="17">
        <f t="shared" si="3"/>
        <v>18.21</v>
      </c>
      <c r="AH90" s="15" t="s">
        <v>44</v>
      </c>
      <c r="AI90" s="15" t="s">
        <v>49</v>
      </c>
      <c r="AJ90" s="15" t="s">
        <v>94</v>
      </c>
      <c r="AK90" s="15" t="s">
        <v>1070</v>
      </c>
      <c r="AL90" s="15" t="s">
        <v>1071</v>
      </c>
      <c r="AM90" s="16">
        <v>14.0</v>
      </c>
      <c r="AN90" s="16">
        <v>14.77</v>
      </c>
      <c r="AO90" s="15">
        <v>50.0</v>
      </c>
      <c r="AP90" s="17">
        <f t="shared" si="4"/>
        <v>0.2954</v>
      </c>
      <c r="AQ90" s="15" t="s">
        <v>44</v>
      </c>
      <c r="AR90" s="15" t="s">
        <v>49</v>
      </c>
      <c r="AS90" s="15" t="s">
        <v>53</v>
      </c>
      <c r="AT90" s="15" t="s">
        <v>57</v>
      </c>
      <c r="AU90" s="15" t="s">
        <v>106</v>
      </c>
    </row>
    <row r="91" ht="30.0" customHeight="1">
      <c r="A91" s="6" t="s">
        <v>1072</v>
      </c>
      <c r="B91" s="8" t="s">
        <v>1073</v>
      </c>
      <c r="C91" s="8" t="s">
        <v>749</v>
      </c>
      <c r="D91" s="8" t="s">
        <v>278</v>
      </c>
      <c r="E91" s="8" t="s">
        <v>126</v>
      </c>
      <c r="F91" s="8" t="s">
        <v>670</v>
      </c>
      <c r="G91" s="6" t="s">
        <v>39</v>
      </c>
      <c r="H91" s="6" t="s">
        <v>694</v>
      </c>
      <c r="I91" s="6" t="s">
        <v>106</v>
      </c>
      <c r="J91" s="15" t="s">
        <v>1074</v>
      </c>
      <c r="K91" s="15" t="s">
        <v>1075</v>
      </c>
      <c r="L91" s="16">
        <v>70.52</v>
      </c>
      <c r="M91" s="16">
        <v>75.04</v>
      </c>
      <c r="N91" s="15">
        <v>1.0</v>
      </c>
      <c r="O91" s="17">
        <f t="shared" si="1"/>
        <v>75.04</v>
      </c>
      <c r="P91" s="15" t="s">
        <v>39</v>
      </c>
      <c r="Q91" s="15" t="s">
        <v>45</v>
      </c>
      <c r="R91" s="15" t="s">
        <v>135</v>
      </c>
      <c r="S91" s="15" t="s">
        <v>1076</v>
      </c>
      <c r="T91" s="15" t="s">
        <v>1077</v>
      </c>
      <c r="U91" s="16">
        <v>70.52</v>
      </c>
      <c r="V91" s="16">
        <v>88.06</v>
      </c>
      <c r="W91" s="15">
        <v>1.0</v>
      </c>
      <c r="X91" s="17">
        <f t="shared" si="2"/>
        <v>88.06</v>
      </c>
      <c r="Y91" s="15" t="s">
        <v>44</v>
      </c>
      <c r="Z91" s="15" t="s">
        <v>49</v>
      </c>
      <c r="AA91" s="15" t="s">
        <v>50</v>
      </c>
      <c r="AB91" s="15" t="s">
        <v>1078</v>
      </c>
      <c r="AC91" s="15" t="s">
        <v>1079</v>
      </c>
      <c r="AD91" s="16">
        <v>70.52</v>
      </c>
      <c r="AE91" s="16">
        <v>81.85</v>
      </c>
      <c r="AF91" s="15">
        <v>1.0</v>
      </c>
      <c r="AG91" s="17">
        <f t="shared" si="3"/>
        <v>81.85</v>
      </c>
      <c r="AH91" s="15" t="s">
        <v>39</v>
      </c>
      <c r="AI91" s="15" t="s">
        <v>67</v>
      </c>
      <c r="AJ91" s="15" t="s">
        <v>94</v>
      </c>
      <c r="AK91" s="15" t="s">
        <v>1080</v>
      </c>
      <c r="AL91" s="15" t="s">
        <v>1081</v>
      </c>
      <c r="AM91" s="16">
        <v>70.52</v>
      </c>
      <c r="AN91" s="16">
        <v>82.29</v>
      </c>
      <c r="AO91" s="15">
        <v>1.0</v>
      </c>
      <c r="AP91" s="17">
        <f t="shared" si="4"/>
        <v>82.29</v>
      </c>
      <c r="AQ91" s="15" t="s">
        <v>44</v>
      </c>
      <c r="AR91" s="15" t="s">
        <v>49</v>
      </c>
      <c r="AS91" s="15" t="s">
        <v>179</v>
      </c>
      <c r="AT91" s="15" t="s">
        <v>57</v>
      </c>
      <c r="AU91" s="15" t="s">
        <v>106</v>
      </c>
    </row>
    <row r="92" ht="30.0" customHeight="1">
      <c r="A92" s="6" t="s">
        <v>1082</v>
      </c>
      <c r="B92" s="8" t="s">
        <v>1083</v>
      </c>
      <c r="C92" s="8" t="s">
        <v>1084</v>
      </c>
      <c r="D92" s="8" t="s">
        <v>191</v>
      </c>
      <c r="E92" s="8" t="s">
        <v>126</v>
      </c>
      <c r="F92" s="8" t="s">
        <v>693</v>
      </c>
      <c r="G92" s="6" t="s">
        <v>39</v>
      </c>
      <c r="H92" s="6" t="s">
        <v>83</v>
      </c>
      <c r="I92" s="6" t="s">
        <v>41</v>
      </c>
      <c r="J92" s="15" t="s">
        <v>1085</v>
      </c>
      <c r="K92" s="15" t="s">
        <v>1086</v>
      </c>
      <c r="L92" s="16">
        <v>79.6</v>
      </c>
      <c r="M92" s="16">
        <v>92.48</v>
      </c>
      <c r="N92" s="15">
        <v>50.0</v>
      </c>
      <c r="O92" s="17">
        <f t="shared" si="1"/>
        <v>1.8496</v>
      </c>
      <c r="P92" s="15" t="s">
        <v>44</v>
      </c>
      <c r="Q92" s="15" t="s">
        <v>89</v>
      </c>
      <c r="R92" s="15" t="s">
        <v>50</v>
      </c>
      <c r="S92" s="15" t="s">
        <v>1087</v>
      </c>
      <c r="T92" s="15" t="s">
        <v>1088</v>
      </c>
      <c r="U92" s="16">
        <v>79.6</v>
      </c>
      <c r="V92" s="16">
        <v>82.52</v>
      </c>
      <c r="W92" s="15">
        <v>50.0</v>
      </c>
      <c r="X92" s="17">
        <f t="shared" si="2"/>
        <v>1.6504</v>
      </c>
      <c r="Y92" s="15" t="s">
        <v>44</v>
      </c>
      <c r="Z92" s="15" t="s">
        <v>76</v>
      </c>
      <c r="AA92" s="15" t="s">
        <v>70</v>
      </c>
      <c r="AB92" s="15" t="s">
        <v>1089</v>
      </c>
      <c r="AC92" s="15" t="s">
        <v>1090</v>
      </c>
      <c r="AD92" s="16">
        <v>79.6</v>
      </c>
      <c r="AE92" s="16">
        <v>87.16</v>
      </c>
      <c r="AF92" s="15">
        <v>5.0</v>
      </c>
      <c r="AG92" s="17">
        <f t="shared" si="3"/>
        <v>17.432</v>
      </c>
      <c r="AH92" s="15" t="s">
        <v>39</v>
      </c>
      <c r="AI92" s="15" t="s">
        <v>76</v>
      </c>
      <c r="AJ92" s="15" t="s">
        <v>73</v>
      </c>
      <c r="AK92" s="15" t="s">
        <v>1091</v>
      </c>
      <c r="AL92" s="15" t="s">
        <v>1092</v>
      </c>
      <c r="AM92" s="16">
        <v>79.6</v>
      </c>
      <c r="AN92" s="16">
        <v>77.16</v>
      </c>
      <c r="AO92" s="15">
        <v>50.0</v>
      </c>
      <c r="AP92" s="17">
        <f t="shared" si="4"/>
        <v>1.5432</v>
      </c>
      <c r="AQ92" s="15" t="s">
        <v>44</v>
      </c>
      <c r="AR92" s="15" t="s">
        <v>67</v>
      </c>
      <c r="AS92" s="15" t="s">
        <v>70</v>
      </c>
      <c r="AT92" s="15" t="s">
        <v>120</v>
      </c>
      <c r="AU92" s="15" t="s">
        <v>41</v>
      </c>
    </row>
    <row r="93" ht="30.0" customHeight="1">
      <c r="A93" s="6" t="s">
        <v>1093</v>
      </c>
      <c r="B93" s="8" t="s">
        <v>868</v>
      </c>
      <c r="C93" s="8" t="s">
        <v>1094</v>
      </c>
      <c r="D93" s="8" t="s">
        <v>191</v>
      </c>
      <c r="E93" s="8" t="s">
        <v>126</v>
      </c>
      <c r="F93" s="8" t="s">
        <v>670</v>
      </c>
      <c r="G93" s="6" t="s">
        <v>39</v>
      </c>
      <c r="H93" s="6" t="s">
        <v>570</v>
      </c>
      <c r="I93" s="6" t="s">
        <v>106</v>
      </c>
      <c r="J93" s="15" t="s">
        <v>1095</v>
      </c>
      <c r="K93" s="15" t="s">
        <v>1096</v>
      </c>
      <c r="L93" s="16">
        <v>38.53</v>
      </c>
      <c r="M93" s="16">
        <v>49.8</v>
      </c>
      <c r="N93" s="15">
        <v>1.0</v>
      </c>
      <c r="O93" s="17">
        <f t="shared" si="1"/>
        <v>49.8</v>
      </c>
      <c r="P93" s="15" t="s">
        <v>39</v>
      </c>
      <c r="Q93" s="15" t="s">
        <v>89</v>
      </c>
      <c r="R93" s="15" t="s">
        <v>135</v>
      </c>
      <c r="S93" s="15" t="s">
        <v>1097</v>
      </c>
      <c r="T93" s="15" t="s">
        <v>1098</v>
      </c>
      <c r="U93" s="16">
        <v>38.53</v>
      </c>
      <c r="V93" s="16">
        <v>41.35</v>
      </c>
      <c r="W93" s="15">
        <v>24.0</v>
      </c>
      <c r="X93" s="17">
        <f t="shared" si="2"/>
        <v>1.722916667</v>
      </c>
      <c r="Y93" s="15" t="s">
        <v>39</v>
      </c>
      <c r="Z93" s="15" t="s">
        <v>67</v>
      </c>
      <c r="AA93" s="15" t="s">
        <v>135</v>
      </c>
      <c r="AB93" s="15" t="s">
        <v>1099</v>
      </c>
      <c r="AC93" s="15" t="s">
        <v>1100</v>
      </c>
      <c r="AD93" s="16">
        <v>38.53</v>
      </c>
      <c r="AE93" s="16">
        <v>43.5</v>
      </c>
      <c r="AF93" s="15">
        <v>24.0</v>
      </c>
      <c r="AG93" s="17">
        <f t="shared" si="3"/>
        <v>1.8125</v>
      </c>
      <c r="AH93" s="15" t="s">
        <v>44</v>
      </c>
      <c r="AI93" s="15" t="s">
        <v>49</v>
      </c>
      <c r="AJ93" s="15" t="s">
        <v>115</v>
      </c>
      <c r="AK93" s="15" t="s">
        <v>1101</v>
      </c>
      <c r="AL93" s="15" t="s">
        <v>1102</v>
      </c>
      <c r="AM93" s="16">
        <v>38.53</v>
      </c>
      <c r="AN93" s="16">
        <v>40.46</v>
      </c>
      <c r="AO93" s="15">
        <v>24.0</v>
      </c>
      <c r="AP93" s="17">
        <f t="shared" si="4"/>
        <v>1.685833333</v>
      </c>
      <c r="AQ93" s="15" t="s">
        <v>39</v>
      </c>
      <c r="AR93" s="15" t="s">
        <v>67</v>
      </c>
      <c r="AS93" s="15" t="s">
        <v>46</v>
      </c>
      <c r="AT93" s="15" t="s">
        <v>57</v>
      </c>
      <c r="AU93" s="15" t="s">
        <v>106</v>
      </c>
    </row>
    <row r="94" ht="30.0" customHeight="1">
      <c r="A94" s="6" t="s">
        <v>1103</v>
      </c>
      <c r="B94" s="8" t="s">
        <v>944</v>
      </c>
      <c r="C94" s="8" t="s">
        <v>1104</v>
      </c>
      <c r="D94" s="8" t="s">
        <v>242</v>
      </c>
      <c r="E94" s="8" t="s">
        <v>141</v>
      </c>
      <c r="F94" s="8" t="s">
        <v>231</v>
      </c>
      <c r="G94" s="6" t="s">
        <v>44</v>
      </c>
      <c r="H94" s="6" t="s">
        <v>340</v>
      </c>
      <c r="I94" s="6" t="s">
        <v>41</v>
      </c>
      <c r="J94" s="15" t="s">
        <v>1105</v>
      </c>
      <c r="K94" s="15" t="s">
        <v>1106</v>
      </c>
      <c r="L94" s="16">
        <v>54.58</v>
      </c>
      <c r="M94" s="16">
        <v>71.31</v>
      </c>
      <c r="N94" s="15">
        <v>1.0</v>
      </c>
      <c r="O94" s="17">
        <f t="shared" si="1"/>
        <v>71.31</v>
      </c>
      <c r="P94" s="15" t="s">
        <v>44</v>
      </c>
      <c r="Q94" s="15" t="s">
        <v>89</v>
      </c>
      <c r="R94" s="15" t="s">
        <v>94</v>
      </c>
      <c r="S94" s="15" t="s">
        <v>1107</v>
      </c>
      <c r="T94" s="15" t="s">
        <v>1108</v>
      </c>
      <c r="U94" s="16">
        <v>54.58</v>
      </c>
      <c r="V94" s="16">
        <v>64.67</v>
      </c>
      <c r="W94" s="15">
        <v>1.0</v>
      </c>
      <c r="X94" s="17">
        <f t="shared" si="2"/>
        <v>64.67</v>
      </c>
      <c r="Y94" s="15" t="s">
        <v>44</v>
      </c>
      <c r="Z94" s="15" t="s">
        <v>49</v>
      </c>
      <c r="AA94" s="15" t="s">
        <v>179</v>
      </c>
      <c r="AB94" s="15" t="s">
        <v>1109</v>
      </c>
      <c r="AC94" s="15" t="s">
        <v>1110</v>
      </c>
      <c r="AD94" s="16">
        <v>54.58</v>
      </c>
      <c r="AE94" s="16">
        <v>68.72</v>
      </c>
      <c r="AF94" s="15">
        <v>1.0</v>
      </c>
      <c r="AG94" s="17">
        <f t="shared" si="3"/>
        <v>68.72</v>
      </c>
      <c r="AH94" s="15" t="s">
        <v>39</v>
      </c>
      <c r="AI94" s="15" t="s">
        <v>100</v>
      </c>
      <c r="AJ94" s="15" t="s">
        <v>179</v>
      </c>
      <c r="AK94" s="15" t="s">
        <v>1111</v>
      </c>
      <c r="AL94" s="15" t="s">
        <v>1112</v>
      </c>
      <c r="AM94" s="16">
        <v>54.58</v>
      </c>
      <c r="AN94" s="16">
        <v>71.75</v>
      </c>
      <c r="AO94" s="15">
        <v>1.0</v>
      </c>
      <c r="AP94" s="17">
        <f t="shared" si="4"/>
        <v>71.75</v>
      </c>
      <c r="AQ94" s="15" t="s">
        <v>39</v>
      </c>
      <c r="AR94" s="15" t="s">
        <v>45</v>
      </c>
      <c r="AS94" s="15" t="s">
        <v>115</v>
      </c>
      <c r="AT94" s="15" t="s">
        <v>120</v>
      </c>
      <c r="AU94" s="15" t="s">
        <v>41</v>
      </c>
    </row>
    <row r="95" ht="30.0" customHeight="1">
      <c r="A95" s="6" t="s">
        <v>1113</v>
      </c>
      <c r="B95" s="8" t="s">
        <v>1114</v>
      </c>
      <c r="C95" s="8" t="s">
        <v>1084</v>
      </c>
      <c r="D95" s="8" t="s">
        <v>80</v>
      </c>
      <c r="E95" s="8" t="s">
        <v>141</v>
      </c>
      <c r="F95" s="8" t="s">
        <v>172</v>
      </c>
      <c r="G95" s="6" t="s">
        <v>39</v>
      </c>
      <c r="H95" s="6" t="s">
        <v>386</v>
      </c>
      <c r="I95" s="6" t="s">
        <v>106</v>
      </c>
      <c r="J95" s="15" t="s">
        <v>1115</v>
      </c>
      <c r="K95" s="15" t="s">
        <v>1116</v>
      </c>
      <c r="L95" s="16">
        <v>13.16</v>
      </c>
      <c r="M95" s="16">
        <v>12.66</v>
      </c>
      <c r="N95" s="15">
        <v>100.0</v>
      </c>
      <c r="O95" s="17">
        <f t="shared" si="1"/>
        <v>0.1266</v>
      </c>
      <c r="P95" s="15" t="s">
        <v>44</v>
      </c>
      <c r="Q95" s="15" t="s">
        <v>49</v>
      </c>
      <c r="R95" s="15" t="s">
        <v>53</v>
      </c>
      <c r="S95" s="15" t="s">
        <v>1117</v>
      </c>
      <c r="T95" s="15" t="s">
        <v>1118</v>
      </c>
      <c r="U95" s="16">
        <v>13.16</v>
      </c>
      <c r="V95" s="16">
        <v>13.59</v>
      </c>
      <c r="W95" s="15">
        <v>1.0</v>
      </c>
      <c r="X95" s="17">
        <f t="shared" si="2"/>
        <v>13.59</v>
      </c>
      <c r="Y95" s="15" t="s">
        <v>39</v>
      </c>
      <c r="Z95" s="15" t="s">
        <v>100</v>
      </c>
      <c r="AA95" s="15" t="s">
        <v>135</v>
      </c>
      <c r="AB95" s="15" t="s">
        <v>1119</v>
      </c>
      <c r="AC95" s="15" t="s">
        <v>1120</v>
      </c>
      <c r="AD95" s="16">
        <v>13.16</v>
      </c>
      <c r="AE95" s="16">
        <v>13.87</v>
      </c>
      <c r="AF95" s="15">
        <v>12.0</v>
      </c>
      <c r="AG95" s="17">
        <f t="shared" si="3"/>
        <v>1.155833333</v>
      </c>
      <c r="AH95" s="15" t="s">
        <v>39</v>
      </c>
      <c r="AI95" s="15" t="s">
        <v>49</v>
      </c>
      <c r="AJ95" s="15" t="s">
        <v>70</v>
      </c>
      <c r="AK95" s="15" t="s">
        <v>1121</v>
      </c>
      <c r="AL95" s="15" t="s">
        <v>1122</v>
      </c>
      <c r="AM95" s="16">
        <v>13.16</v>
      </c>
      <c r="AN95" s="16">
        <v>15.46</v>
      </c>
      <c r="AO95" s="15">
        <v>1.0</v>
      </c>
      <c r="AP95" s="17">
        <f t="shared" si="4"/>
        <v>15.46</v>
      </c>
      <c r="AQ95" s="15" t="s">
        <v>44</v>
      </c>
      <c r="AR95" s="15" t="s">
        <v>49</v>
      </c>
      <c r="AS95" s="15" t="s">
        <v>135</v>
      </c>
      <c r="AT95" s="15" t="s">
        <v>155</v>
      </c>
      <c r="AU95" s="15" t="s">
        <v>106</v>
      </c>
    </row>
    <row r="96" ht="30.0" customHeight="1">
      <c r="A96" s="6" t="s">
        <v>1123</v>
      </c>
      <c r="B96" s="8" t="s">
        <v>1124</v>
      </c>
      <c r="C96" s="8" t="s">
        <v>1125</v>
      </c>
      <c r="D96" s="8" t="s">
        <v>546</v>
      </c>
      <c r="E96" s="8" t="s">
        <v>162</v>
      </c>
      <c r="F96" s="8" t="s">
        <v>420</v>
      </c>
      <c r="G96" s="6" t="s">
        <v>44</v>
      </c>
      <c r="H96" s="6" t="s">
        <v>559</v>
      </c>
      <c r="I96" s="6" t="s">
        <v>106</v>
      </c>
      <c r="J96" s="15" t="s">
        <v>1126</v>
      </c>
      <c r="K96" s="15" t="s">
        <v>1127</v>
      </c>
      <c r="L96" s="16">
        <v>63.81</v>
      </c>
      <c r="M96" s="16">
        <v>76.15</v>
      </c>
      <c r="N96" s="15">
        <v>50.0</v>
      </c>
      <c r="O96" s="17">
        <f t="shared" si="1"/>
        <v>1.523</v>
      </c>
      <c r="P96" s="15" t="s">
        <v>39</v>
      </c>
      <c r="Q96" s="15" t="s">
        <v>76</v>
      </c>
      <c r="R96" s="15" t="s">
        <v>94</v>
      </c>
      <c r="S96" s="15" t="s">
        <v>1128</v>
      </c>
      <c r="T96" s="15" t="s">
        <v>1129</v>
      </c>
      <c r="U96" s="16">
        <v>63.81</v>
      </c>
      <c r="V96" s="16">
        <v>84.17</v>
      </c>
      <c r="W96" s="15">
        <v>10.0</v>
      </c>
      <c r="X96" s="17">
        <f t="shared" si="2"/>
        <v>8.417</v>
      </c>
      <c r="Y96" s="15" t="s">
        <v>44</v>
      </c>
      <c r="Z96" s="15" t="s">
        <v>45</v>
      </c>
      <c r="AA96" s="15" t="s">
        <v>73</v>
      </c>
      <c r="AB96" s="15" t="s">
        <v>1130</v>
      </c>
      <c r="AC96" s="15" t="s">
        <v>1131</v>
      </c>
      <c r="AD96" s="16">
        <v>63.81</v>
      </c>
      <c r="AE96" s="16">
        <v>83.93</v>
      </c>
      <c r="AF96" s="15">
        <v>5.0</v>
      </c>
      <c r="AG96" s="17">
        <f t="shared" si="3"/>
        <v>16.786</v>
      </c>
      <c r="AH96" s="15" t="s">
        <v>39</v>
      </c>
      <c r="AI96" s="15" t="s">
        <v>76</v>
      </c>
      <c r="AJ96" s="15" t="s">
        <v>70</v>
      </c>
      <c r="AK96" s="15" t="s">
        <v>1132</v>
      </c>
      <c r="AL96" s="15" t="s">
        <v>1133</v>
      </c>
      <c r="AM96" s="16">
        <v>63.81</v>
      </c>
      <c r="AN96" s="16">
        <v>78.26</v>
      </c>
      <c r="AO96" s="15">
        <v>1.0</v>
      </c>
      <c r="AP96" s="17">
        <f t="shared" si="4"/>
        <v>78.26</v>
      </c>
      <c r="AQ96" s="15" t="s">
        <v>39</v>
      </c>
      <c r="AR96" s="15" t="s">
        <v>100</v>
      </c>
      <c r="AS96" s="15" t="s">
        <v>115</v>
      </c>
      <c r="AT96" s="15" t="s">
        <v>155</v>
      </c>
      <c r="AU96" s="15" t="s">
        <v>106</v>
      </c>
    </row>
    <row r="97" ht="30.0" customHeight="1">
      <c r="A97" s="6" t="s">
        <v>1134</v>
      </c>
      <c r="B97" s="8" t="s">
        <v>1135</v>
      </c>
      <c r="C97" s="8" t="s">
        <v>1136</v>
      </c>
      <c r="D97" s="8" t="s">
        <v>80</v>
      </c>
      <c r="E97" s="8" t="s">
        <v>162</v>
      </c>
      <c r="F97" s="8" t="s">
        <v>204</v>
      </c>
      <c r="G97" s="6" t="s">
        <v>39</v>
      </c>
      <c r="H97" s="6" t="s">
        <v>559</v>
      </c>
      <c r="I97" s="6" t="s">
        <v>41</v>
      </c>
      <c r="J97" s="15" t="s">
        <v>1137</v>
      </c>
      <c r="K97" s="15" t="s">
        <v>1138</v>
      </c>
      <c r="L97" s="16">
        <v>47.89</v>
      </c>
      <c r="M97" s="16">
        <v>68.52</v>
      </c>
      <c r="N97" s="15">
        <v>5.0</v>
      </c>
      <c r="O97" s="17">
        <f t="shared" si="1"/>
        <v>13.704</v>
      </c>
      <c r="P97" s="15" t="s">
        <v>39</v>
      </c>
      <c r="Q97" s="15" t="s">
        <v>100</v>
      </c>
      <c r="R97" s="15" t="s">
        <v>94</v>
      </c>
      <c r="S97" s="15" t="s">
        <v>1139</v>
      </c>
      <c r="T97" s="15" t="s">
        <v>1140</v>
      </c>
      <c r="U97" s="16">
        <v>47.89</v>
      </c>
      <c r="V97" s="16">
        <v>63.11</v>
      </c>
      <c r="W97" s="15">
        <v>5.0</v>
      </c>
      <c r="X97" s="17">
        <f t="shared" si="2"/>
        <v>12.622</v>
      </c>
      <c r="Y97" s="15" t="s">
        <v>44</v>
      </c>
      <c r="Z97" s="15" t="s">
        <v>49</v>
      </c>
      <c r="AA97" s="15" t="s">
        <v>115</v>
      </c>
      <c r="AB97" s="15" t="s">
        <v>1141</v>
      </c>
      <c r="AC97" s="15" t="s">
        <v>1142</v>
      </c>
      <c r="AD97" s="16">
        <v>47.89</v>
      </c>
      <c r="AE97" s="16">
        <v>54.6</v>
      </c>
      <c r="AF97" s="15">
        <v>5.0</v>
      </c>
      <c r="AG97" s="17">
        <f t="shared" si="3"/>
        <v>10.92</v>
      </c>
      <c r="AH97" s="15" t="s">
        <v>44</v>
      </c>
      <c r="AI97" s="15" t="s">
        <v>49</v>
      </c>
      <c r="AJ97" s="15" t="s">
        <v>135</v>
      </c>
      <c r="AK97" s="15" t="s">
        <v>1143</v>
      </c>
      <c r="AL97" s="15" t="s">
        <v>1144</v>
      </c>
      <c r="AM97" s="16">
        <v>47.89</v>
      </c>
      <c r="AN97" s="16">
        <v>63.85</v>
      </c>
      <c r="AO97" s="15">
        <v>5.0</v>
      </c>
      <c r="AP97" s="17">
        <f t="shared" si="4"/>
        <v>12.77</v>
      </c>
      <c r="AQ97" s="15" t="s">
        <v>44</v>
      </c>
      <c r="AR97" s="15" t="s">
        <v>89</v>
      </c>
      <c r="AS97" s="15" t="s">
        <v>70</v>
      </c>
      <c r="AT97" s="15" t="s">
        <v>57</v>
      </c>
      <c r="AU97" s="15" t="s">
        <v>41</v>
      </c>
    </row>
    <row r="98" ht="30.0" customHeight="1">
      <c r="A98" s="6" t="s">
        <v>1145</v>
      </c>
      <c r="B98" s="8" t="s">
        <v>1146</v>
      </c>
      <c r="C98" s="8" t="s">
        <v>1147</v>
      </c>
      <c r="D98" s="8" t="s">
        <v>36</v>
      </c>
      <c r="E98" s="8" t="s">
        <v>141</v>
      </c>
      <c r="F98" s="8" t="s">
        <v>172</v>
      </c>
      <c r="G98" s="6" t="s">
        <v>39</v>
      </c>
      <c r="H98" s="6" t="s">
        <v>750</v>
      </c>
      <c r="I98" s="6" t="s">
        <v>41</v>
      </c>
      <c r="J98" s="15" t="s">
        <v>1148</v>
      </c>
      <c r="K98" s="15" t="s">
        <v>1149</v>
      </c>
      <c r="L98" s="16">
        <v>64.2</v>
      </c>
      <c r="M98" s="16">
        <v>67.42</v>
      </c>
      <c r="N98" s="15">
        <v>1.0</v>
      </c>
      <c r="O98" s="17">
        <f t="shared" si="1"/>
        <v>67.42</v>
      </c>
      <c r="P98" s="15" t="s">
        <v>44</v>
      </c>
      <c r="Q98" s="15" t="s">
        <v>67</v>
      </c>
      <c r="R98" s="15" t="s">
        <v>94</v>
      </c>
      <c r="S98" s="15" t="s">
        <v>1150</v>
      </c>
      <c r="T98" s="15" t="s">
        <v>1151</v>
      </c>
      <c r="U98" s="16">
        <v>64.2</v>
      </c>
      <c r="V98" s="16">
        <v>63.19</v>
      </c>
      <c r="W98" s="15">
        <v>5.0</v>
      </c>
      <c r="X98" s="17">
        <f t="shared" si="2"/>
        <v>12.638</v>
      </c>
      <c r="Y98" s="15" t="s">
        <v>39</v>
      </c>
      <c r="Z98" s="15" t="s">
        <v>49</v>
      </c>
      <c r="AA98" s="15" t="s">
        <v>70</v>
      </c>
      <c r="AB98" s="15" t="s">
        <v>1152</v>
      </c>
      <c r="AC98" s="15" t="s">
        <v>1153</v>
      </c>
      <c r="AD98" s="16">
        <v>64.2</v>
      </c>
      <c r="AE98" s="16">
        <v>73.78</v>
      </c>
      <c r="AF98" s="15">
        <v>50.0</v>
      </c>
      <c r="AG98" s="17">
        <f t="shared" si="3"/>
        <v>1.4756</v>
      </c>
      <c r="AH98" s="15" t="s">
        <v>39</v>
      </c>
      <c r="AI98" s="15" t="s">
        <v>67</v>
      </c>
      <c r="AJ98" s="15" t="s">
        <v>115</v>
      </c>
      <c r="AK98" s="15" t="s">
        <v>1154</v>
      </c>
      <c r="AL98" s="15" t="s">
        <v>1155</v>
      </c>
      <c r="AM98" s="16">
        <v>64.2</v>
      </c>
      <c r="AN98" s="16">
        <v>72.79</v>
      </c>
      <c r="AO98" s="15">
        <v>5.0</v>
      </c>
      <c r="AP98" s="17">
        <f t="shared" si="4"/>
        <v>14.558</v>
      </c>
      <c r="AQ98" s="15" t="s">
        <v>44</v>
      </c>
      <c r="AR98" s="15" t="s">
        <v>49</v>
      </c>
      <c r="AS98" s="15" t="s">
        <v>135</v>
      </c>
      <c r="AT98" s="15" t="s">
        <v>120</v>
      </c>
      <c r="AU98" s="15" t="s">
        <v>41</v>
      </c>
    </row>
    <row r="99" ht="30.0" customHeight="1">
      <c r="A99" s="6" t="s">
        <v>1156</v>
      </c>
      <c r="B99" s="8" t="s">
        <v>373</v>
      </c>
      <c r="C99" s="8" t="s">
        <v>1157</v>
      </c>
      <c r="D99" s="8" t="s">
        <v>546</v>
      </c>
      <c r="E99" s="8" t="s">
        <v>154</v>
      </c>
      <c r="F99" s="8" t="s">
        <v>243</v>
      </c>
      <c r="G99" s="6" t="s">
        <v>39</v>
      </c>
      <c r="H99" s="6" t="s">
        <v>694</v>
      </c>
      <c r="I99" s="6" t="s">
        <v>41</v>
      </c>
      <c r="J99" s="15" t="s">
        <v>1158</v>
      </c>
      <c r="K99" s="15" t="s">
        <v>1159</v>
      </c>
      <c r="L99" s="16">
        <v>37.77</v>
      </c>
      <c r="M99" s="16">
        <v>43.87</v>
      </c>
      <c r="N99" s="15">
        <v>1.0</v>
      </c>
      <c r="O99" s="17">
        <f t="shared" si="1"/>
        <v>43.87</v>
      </c>
      <c r="P99" s="15" t="s">
        <v>39</v>
      </c>
      <c r="Q99" s="15" t="s">
        <v>49</v>
      </c>
      <c r="R99" s="15" t="s">
        <v>46</v>
      </c>
      <c r="S99" s="15" t="s">
        <v>1160</v>
      </c>
      <c r="T99" s="15" t="s">
        <v>1161</v>
      </c>
      <c r="U99" s="16">
        <v>37.77</v>
      </c>
      <c r="V99" s="16">
        <v>45.71</v>
      </c>
      <c r="W99" s="15">
        <v>10.0</v>
      </c>
      <c r="X99" s="17">
        <f t="shared" si="2"/>
        <v>4.571</v>
      </c>
      <c r="Y99" s="15" t="s">
        <v>39</v>
      </c>
      <c r="Z99" s="15" t="s">
        <v>67</v>
      </c>
      <c r="AA99" s="15" t="s">
        <v>115</v>
      </c>
      <c r="AB99" s="15" t="s">
        <v>1162</v>
      </c>
      <c r="AC99" s="15" t="s">
        <v>1163</v>
      </c>
      <c r="AD99" s="16">
        <v>37.77</v>
      </c>
      <c r="AE99" s="16">
        <v>47.63</v>
      </c>
      <c r="AF99" s="15">
        <v>50.0</v>
      </c>
      <c r="AG99" s="17">
        <f t="shared" si="3"/>
        <v>0.9526</v>
      </c>
      <c r="AH99" s="15" t="s">
        <v>44</v>
      </c>
      <c r="AI99" s="15" t="s">
        <v>89</v>
      </c>
      <c r="AJ99" s="15" t="s">
        <v>50</v>
      </c>
      <c r="AK99" s="15" t="s">
        <v>1164</v>
      </c>
      <c r="AL99" s="15" t="s">
        <v>1165</v>
      </c>
      <c r="AM99" s="16">
        <v>37.77</v>
      </c>
      <c r="AN99" s="16">
        <v>41.36</v>
      </c>
      <c r="AO99" s="15">
        <v>1.0</v>
      </c>
      <c r="AP99" s="17">
        <f t="shared" si="4"/>
        <v>41.36</v>
      </c>
      <c r="AQ99" s="15" t="s">
        <v>44</v>
      </c>
      <c r="AR99" s="15" t="s">
        <v>89</v>
      </c>
      <c r="AS99" s="15" t="s">
        <v>179</v>
      </c>
      <c r="AT99" s="15" t="s">
        <v>57</v>
      </c>
      <c r="AU99" s="15" t="s">
        <v>41</v>
      </c>
    </row>
    <row r="100" ht="30.0" customHeight="1">
      <c r="A100" s="6" t="s">
        <v>1166</v>
      </c>
      <c r="B100" s="8" t="s">
        <v>1167</v>
      </c>
      <c r="C100" s="8" t="s">
        <v>1168</v>
      </c>
      <c r="D100" s="8" t="s">
        <v>278</v>
      </c>
      <c r="E100" s="8" t="s">
        <v>154</v>
      </c>
      <c r="F100" s="8" t="s">
        <v>535</v>
      </c>
      <c r="G100" s="6" t="s">
        <v>39</v>
      </c>
      <c r="H100" s="6" t="s">
        <v>501</v>
      </c>
      <c r="I100" s="6" t="s">
        <v>41</v>
      </c>
      <c r="J100" s="15" t="s">
        <v>1169</v>
      </c>
      <c r="K100" s="15" t="s">
        <v>1170</v>
      </c>
      <c r="L100" s="16">
        <v>57.1</v>
      </c>
      <c r="M100" s="16">
        <v>64.18</v>
      </c>
      <c r="N100" s="15">
        <v>1.0</v>
      </c>
      <c r="O100" s="17">
        <f t="shared" si="1"/>
        <v>64.18</v>
      </c>
      <c r="P100" s="15" t="s">
        <v>44</v>
      </c>
      <c r="Q100" s="15" t="s">
        <v>45</v>
      </c>
      <c r="R100" s="15" t="s">
        <v>179</v>
      </c>
      <c r="S100" s="15" t="s">
        <v>1171</v>
      </c>
      <c r="T100" s="15" t="s">
        <v>1172</v>
      </c>
      <c r="U100" s="16">
        <v>57.1</v>
      </c>
      <c r="V100" s="16">
        <v>62.46</v>
      </c>
      <c r="W100" s="15">
        <v>10.0</v>
      </c>
      <c r="X100" s="17">
        <f t="shared" si="2"/>
        <v>6.246</v>
      </c>
      <c r="Y100" s="15" t="s">
        <v>44</v>
      </c>
      <c r="Z100" s="15" t="s">
        <v>45</v>
      </c>
      <c r="AA100" s="15" t="s">
        <v>179</v>
      </c>
      <c r="AB100" s="15" t="s">
        <v>1173</v>
      </c>
      <c r="AC100" s="15" t="s">
        <v>1174</v>
      </c>
      <c r="AD100" s="16">
        <v>57.1</v>
      </c>
      <c r="AE100" s="16">
        <v>60.11</v>
      </c>
      <c r="AF100" s="15">
        <v>10.0</v>
      </c>
      <c r="AG100" s="17">
        <f t="shared" si="3"/>
        <v>6.011</v>
      </c>
      <c r="AH100" s="15" t="s">
        <v>39</v>
      </c>
      <c r="AI100" s="15" t="s">
        <v>67</v>
      </c>
      <c r="AJ100" s="15" t="s">
        <v>53</v>
      </c>
      <c r="AK100" s="15" t="s">
        <v>1175</v>
      </c>
      <c r="AL100" s="15" t="s">
        <v>1176</v>
      </c>
      <c r="AM100" s="16">
        <v>57.1</v>
      </c>
      <c r="AN100" s="16">
        <v>71.97</v>
      </c>
      <c r="AO100" s="15">
        <v>25.0</v>
      </c>
      <c r="AP100" s="17">
        <f t="shared" si="4"/>
        <v>2.8788</v>
      </c>
      <c r="AQ100" s="15" t="s">
        <v>44</v>
      </c>
      <c r="AR100" s="15" t="s">
        <v>100</v>
      </c>
      <c r="AS100" s="15" t="s">
        <v>50</v>
      </c>
      <c r="AT100" s="15" t="s">
        <v>155</v>
      </c>
      <c r="AU100" s="15" t="s">
        <v>41</v>
      </c>
    </row>
    <row r="101" ht="30.0" customHeight="1">
      <c r="A101" s="6" t="s">
        <v>1177</v>
      </c>
      <c r="B101" s="8" t="s">
        <v>1178</v>
      </c>
      <c r="C101" s="8" t="s">
        <v>1179</v>
      </c>
      <c r="D101" s="8" t="s">
        <v>105</v>
      </c>
      <c r="E101" s="8" t="s">
        <v>141</v>
      </c>
      <c r="F101" s="8" t="s">
        <v>172</v>
      </c>
      <c r="G101" s="6" t="s">
        <v>39</v>
      </c>
      <c r="H101" s="6" t="s">
        <v>305</v>
      </c>
      <c r="I101" s="6" t="s">
        <v>106</v>
      </c>
      <c r="J101" s="15" t="s">
        <v>1180</v>
      </c>
      <c r="K101" s="15" t="s">
        <v>1181</v>
      </c>
      <c r="L101" s="16">
        <v>22.43</v>
      </c>
      <c r="M101" s="16">
        <v>25.56</v>
      </c>
      <c r="N101" s="15">
        <v>5.0</v>
      </c>
      <c r="O101" s="17">
        <f t="shared" si="1"/>
        <v>5.112</v>
      </c>
      <c r="P101" s="15" t="s">
        <v>39</v>
      </c>
      <c r="Q101" s="15" t="s">
        <v>89</v>
      </c>
      <c r="R101" s="15" t="s">
        <v>53</v>
      </c>
      <c r="S101" s="15" t="s">
        <v>1182</v>
      </c>
      <c r="T101" s="15" t="s">
        <v>1183</v>
      </c>
      <c r="U101" s="16">
        <v>22.43</v>
      </c>
      <c r="V101" s="16">
        <v>25.85</v>
      </c>
      <c r="W101" s="15">
        <v>25.0</v>
      </c>
      <c r="X101" s="17">
        <f t="shared" si="2"/>
        <v>1.034</v>
      </c>
      <c r="Y101" s="15" t="s">
        <v>44</v>
      </c>
      <c r="Z101" s="15" t="s">
        <v>45</v>
      </c>
      <c r="AA101" s="15" t="s">
        <v>115</v>
      </c>
      <c r="AB101" s="15" t="s">
        <v>1184</v>
      </c>
      <c r="AC101" s="15" t="s">
        <v>1185</v>
      </c>
      <c r="AD101" s="16">
        <v>22.43</v>
      </c>
      <c r="AE101" s="16">
        <v>29.66</v>
      </c>
      <c r="AF101" s="15">
        <v>5.0</v>
      </c>
      <c r="AG101" s="17">
        <f t="shared" si="3"/>
        <v>5.932</v>
      </c>
      <c r="AH101" s="15" t="s">
        <v>44</v>
      </c>
      <c r="AI101" s="15" t="s">
        <v>89</v>
      </c>
      <c r="AJ101" s="15" t="s">
        <v>179</v>
      </c>
      <c r="AK101" s="15" t="s">
        <v>1186</v>
      </c>
      <c r="AL101" s="15" t="s">
        <v>1187</v>
      </c>
      <c r="AM101" s="16">
        <v>22.43</v>
      </c>
      <c r="AN101" s="16">
        <v>29.63</v>
      </c>
      <c r="AO101" s="15">
        <v>5.0</v>
      </c>
      <c r="AP101" s="17">
        <f t="shared" si="4"/>
        <v>5.926</v>
      </c>
      <c r="AQ101" s="15" t="s">
        <v>44</v>
      </c>
      <c r="AR101" s="15" t="s">
        <v>67</v>
      </c>
      <c r="AS101" s="15" t="s">
        <v>53</v>
      </c>
      <c r="AT101" s="15" t="s">
        <v>57</v>
      </c>
      <c r="AU101" s="15" t="s">
        <v>106</v>
      </c>
    </row>
    <row r="102" ht="30.0" customHeight="1">
      <c r="A102" s="6" t="s">
        <v>1188</v>
      </c>
      <c r="B102" s="8" t="s">
        <v>1189</v>
      </c>
      <c r="C102" s="8" t="s">
        <v>1190</v>
      </c>
      <c r="D102" s="8" t="s">
        <v>217</v>
      </c>
      <c r="E102" s="8" t="s">
        <v>141</v>
      </c>
      <c r="F102" s="8" t="s">
        <v>255</v>
      </c>
      <c r="G102" s="6" t="s">
        <v>39</v>
      </c>
      <c r="H102" s="6" t="s">
        <v>694</v>
      </c>
      <c r="I102" s="6" t="s">
        <v>106</v>
      </c>
      <c r="J102" s="15" t="s">
        <v>1191</v>
      </c>
      <c r="K102" s="15" t="s">
        <v>1192</v>
      </c>
      <c r="L102" s="16">
        <v>21.72</v>
      </c>
      <c r="M102" s="16">
        <v>22.02</v>
      </c>
      <c r="N102" s="15">
        <v>10.0</v>
      </c>
      <c r="O102" s="17">
        <f t="shared" si="1"/>
        <v>2.202</v>
      </c>
      <c r="P102" s="15" t="s">
        <v>44</v>
      </c>
      <c r="Q102" s="15" t="s">
        <v>109</v>
      </c>
      <c r="R102" s="15" t="s">
        <v>115</v>
      </c>
      <c r="S102" s="15" t="s">
        <v>1193</v>
      </c>
      <c r="T102" s="15" t="s">
        <v>1194</v>
      </c>
      <c r="U102" s="16">
        <v>21.72</v>
      </c>
      <c r="V102" s="16">
        <v>22.93</v>
      </c>
      <c r="W102" s="15">
        <v>10.0</v>
      </c>
      <c r="X102" s="17">
        <f t="shared" si="2"/>
        <v>2.293</v>
      </c>
      <c r="Y102" s="15" t="s">
        <v>39</v>
      </c>
      <c r="Z102" s="15" t="s">
        <v>49</v>
      </c>
      <c r="AA102" s="15" t="s">
        <v>46</v>
      </c>
      <c r="AB102" s="15" t="s">
        <v>1195</v>
      </c>
      <c r="AC102" s="15" t="s">
        <v>1196</v>
      </c>
      <c r="AD102" s="16">
        <v>21.72</v>
      </c>
      <c r="AE102" s="16">
        <v>21.29</v>
      </c>
      <c r="AF102" s="15">
        <v>25.0</v>
      </c>
      <c r="AG102" s="17">
        <f t="shared" si="3"/>
        <v>0.8516</v>
      </c>
      <c r="AH102" s="15" t="s">
        <v>44</v>
      </c>
      <c r="AI102" s="15" t="s">
        <v>89</v>
      </c>
      <c r="AJ102" s="15" t="s">
        <v>115</v>
      </c>
      <c r="AK102" s="15" t="s">
        <v>1197</v>
      </c>
      <c r="AL102" s="15" t="s">
        <v>1198</v>
      </c>
      <c r="AM102" s="16">
        <v>21.72</v>
      </c>
      <c r="AN102" s="16">
        <v>24.23</v>
      </c>
      <c r="AO102" s="15">
        <v>10.0</v>
      </c>
      <c r="AP102" s="17">
        <f t="shared" si="4"/>
        <v>2.423</v>
      </c>
      <c r="AQ102" s="15" t="s">
        <v>39</v>
      </c>
      <c r="AR102" s="15" t="s">
        <v>100</v>
      </c>
      <c r="AS102" s="15" t="s">
        <v>53</v>
      </c>
      <c r="AT102" s="15" t="s">
        <v>57</v>
      </c>
      <c r="AU102" s="15" t="s">
        <v>106</v>
      </c>
    </row>
    <row r="103" ht="30.0" customHeight="1">
      <c r="A103" s="6" t="s">
        <v>1199</v>
      </c>
      <c r="B103" s="8" t="s">
        <v>1200</v>
      </c>
      <c r="C103" s="8" t="s">
        <v>1201</v>
      </c>
      <c r="D103" s="8" t="s">
        <v>242</v>
      </c>
      <c r="E103" s="8" t="s">
        <v>62</v>
      </c>
      <c r="F103" s="8" t="s">
        <v>63</v>
      </c>
      <c r="G103" s="6" t="s">
        <v>44</v>
      </c>
      <c r="H103" s="6" t="s">
        <v>83</v>
      </c>
      <c r="I103" s="6" t="s">
        <v>106</v>
      </c>
      <c r="J103" s="15" t="s">
        <v>1202</v>
      </c>
      <c r="K103" s="15" t="s">
        <v>1203</v>
      </c>
      <c r="L103" s="16">
        <v>17.97</v>
      </c>
      <c r="M103" s="16">
        <v>21.12</v>
      </c>
      <c r="N103" s="15">
        <v>1.0</v>
      </c>
      <c r="O103" s="17">
        <f t="shared" si="1"/>
        <v>21.12</v>
      </c>
      <c r="P103" s="15" t="s">
        <v>39</v>
      </c>
      <c r="Q103" s="15" t="s">
        <v>67</v>
      </c>
      <c r="R103" s="15" t="s">
        <v>94</v>
      </c>
      <c r="S103" s="15" t="s">
        <v>1204</v>
      </c>
      <c r="T103" s="15" t="s">
        <v>1205</v>
      </c>
      <c r="U103" s="16">
        <v>17.97</v>
      </c>
      <c r="V103" s="16">
        <v>21.01</v>
      </c>
      <c r="W103" s="15">
        <v>5.0</v>
      </c>
      <c r="X103" s="17">
        <f t="shared" si="2"/>
        <v>4.202</v>
      </c>
      <c r="Y103" s="15" t="s">
        <v>39</v>
      </c>
      <c r="Z103" s="15" t="s">
        <v>49</v>
      </c>
      <c r="AA103" s="15" t="s">
        <v>70</v>
      </c>
      <c r="AB103" s="15" t="s">
        <v>1206</v>
      </c>
      <c r="AC103" s="15" t="s">
        <v>1207</v>
      </c>
      <c r="AD103" s="16">
        <v>17.97</v>
      </c>
      <c r="AE103" s="16">
        <v>17.59</v>
      </c>
      <c r="AF103" s="15">
        <v>10.0</v>
      </c>
      <c r="AG103" s="17">
        <f t="shared" si="3"/>
        <v>1.759</v>
      </c>
      <c r="AH103" s="15" t="s">
        <v>39</v>
      </c>
      <c r="AI103" s="15" t="s">
        <v>76</v>
      </c>
      <c r="AJ103" s="15" t="s">
        <v>70</v>
      </c>
      <c r="AK103" s="15" t="s">
        <v>1208</v>
      </c>
      <c r="AL103" s="15" t="s">
        <v>1209</v>
      </c>
      <c r="AM103" s="16">
        <v>17.97</v>
      </c>
      <c r="AN103" s="16">
        <v>19.98</v>
      </c>
      <c r="AO103" s="15">
        <v>10.0</v>
      </c>
      <c r="AP103" s="17">
        <f t="shared" si="4"/>
        <v>1.998</v>
      </c>
      <c r="AQ103" s="15" t="s">
        <v>44</v>
      </c>
      <c r="AR103" s="15" t="s">
        <v>89</v>
      </c>
      <c r="AS103" s="15" t="s">
        <v>179</v>
      </c>
      <c r="AT103" s="15" t="s">
        <v>57</v>
      </c>
      <c r="AU103" s="15" t="s">
        <v>106</v>
      </c>
    </row>
    <row r="104" ht="30.0" customHeight="1">
      <c r="A104" s="6" t="s">
        <v>1210</v>
      </c>
      <c r="B104" s="8" t="s">
        <v>1211</v>
      </c>
      <c r="C104" s="8" t="s">
        <v>1212</v>
      </c>
      <c r="D104" s="8" t="s">
        <v>191</v>
      </c>
      <c r="E104" s="8" t="s">
        <v>167</v>
      </c>
      <c r="F104" s="8" t="s">
        <v>771</v>
      </c>
      <c r="G104" s="6" t="s">
        <v>39</v>
      </c>
      <c r="H104" s="6" t="s">
        <v>340</v>
      </c>
      <c r="I104" s="6" t="s">
        <v>106</v>
      </c>
      <c r="J104" s="15" t="s">
        <v>1213</v>
      </c>
      <c r="K104" s="15" t="s">
        <v>1214</v>
      </c>
      <c r="L104" s="16">
        <v>56.46</v>
      </c>
      <c r="M104" s="16">
        <v>63.38</v>
      </c>
      <c r="N104" s="15">
        <v>100.0</v>
      </c>
      <c r="O104" s="17">
        <f t="shared" si="1"/>
        <v>0.6338</v>
      </c>
      <c r="P104" s="15" t="s">
        <v>44</v>
      </c>
      <c r="Q104" s="15" t="s">
        <v>89</v>
      </c>
      <c r="R104" s="15" t="s">
        <v>50</v>
      </c>
      <c r="S104" s="15" t="s">
        <v>1215</v>
      </c>
      <c r="T104" s="15" t="s">
        <v>1216</v>
      </c>
      <c r="U104" s="16">
        <v>56.46</v>
      </c>
      <c r="V104" s="16">
        <v>78.79</v>
      </c>
      <c r="W104" s="15">
        <v>1.0</v>
      </c>
      <c r="X104" s="17">
        <f t="shared" si="2"/>
        <v>78.79</v>
      </c>
      <c r="Y104" s="15" t="s">
        <v>39</v>
      </c>
      <c r="Z104" s="15" t="s">
        <v>89</v>
      </c>
      <c r="AA104" s="15" t="s">
        <v>46</v>
      </c>
      <c r="AB104" s="15" t="s">
        <v>1217</v>
      </c>
      <c r="AC104" s="15" t="s">
        <v>1218</v>
      </c>
      <c r="AD104" s="16">
        <v>56.46</v>
      </c>
      <c r="AE104" s="16">
        <v>61.74</v>
      </c>
      <c r="AF104" s="15">
        <v>1.0</v>
      </c>
      <c r="AG104" s="17">
        <f t="shared" si="3"/>
        <v>61.74</v>
      </c>
      <c r="AH104" s="15" t="s">
        <v>39</v>
      </c>
      <c r="AI104" s="15" t="s">
        <v>76</v>
      </c>
      <c r="AJ104" s="15" t="s">
        <v>53</v>
      </c>
      <c r="AK104" s="15" t="s">
        <v>1219</v>
      </c>
      <c r="AL104" s="15" t="s">
        <v>1220</v>
      </c>
      <c r="AM104" s="16">
        <v>56.46</v>
      </c>
      <c r="AN104" s="16">
        <v>59.51</v>
      </c>
      <c r="AO104" s="15">
        <v>1.0</v>
      </c>
      <c r="AP104" s="17">
        <f t="shared" si="4"/>
        <v>59.51</v>
      </c>
      <c r="AQ104" s="15" t="s">
        <v>39</v>
      </c>
      <c r="AR104" s="15" t="s">
        <v>67</v>
      </c>
      <c r="AS104" s="15" t="s">
        <v>179</v>
      </c>
      <c r="AT104" s="15" t="s">
        <v>155</v>
      </c>
      <c r="AU104" s="15" t="s">
        <v>106</v>
      </c>
    </row>
    <row r="105" ht="30.0" customHeight="1">
      <c r="A105" s="6" t="s">
        <v>1221</v>
      </c>
      <c r="B105" s="8" t="s">
        <v>1222</v>
      </c>
      <c r="C105" s="8" t="s">
        <v>444</v>
      </c>
      <c r="D105" s="8" t="s">
        <v>217</v>
      </c>
      <c r="E105" s="8" t="s">
        <v>162</v>
      </c>
      <c r="F105" s="8" t="s">
        <v>1223</v>
      </c>
      <c r="G105" s="6" t="s">
        <v>39</v>
      </c>
      <c r="H105" s="6" t="s">
        <v>40</v>
      </c>
      <c r="I105" s="6" t="s">
        <v>41</v>
      </c>
      <c r="J105" s="15" t="s">
        <v>1224</v>
      </c>
      <c r="K105" s="15" t="s">
        <v>1225</v>
      </c>
      <c r="L105" s="16">
        <v>57.96</v>
      </c>
      <c r="M105" s="16">
        <v>63.97</v>
      </c>
      <c r="N105" s="15">
        <v>1.0</v>
      </c>
      <c r="O105" s="17">
        <f t="shared" si="1"/>
        <v>63.97</v>
      </c>
      <c r="P105" s="15" t="s">
        <v>39</v>
      </c>
      <c r="Q105" s="15" t="s">
        <v>109</v>
      </c>
      <c r="R105" s="15" t="s">
        <v>70</v>
      </c>
      <c r="S105" s="15" t="s">
        <v>1226</v>
      </c>
      <c r="T105" s="15" t="s">
        <v>1227</v>
      </c>
      <c r="U105" s="16">
        <v>57.96</v>
      </c>
      <c r="V105" s="16">
        <v>57.72</v>
      </c>
      <c r="W105" s="15">
        <v>1.0</v>
      </c>
      <c r="X105" s="17">
        <f t="shared" si="2"/>
        <v>57.72</v>
      </c>
      <c r="Y105" s="15" t="s">
        <v>44</v>
      </c>
      <c r="Z105" s="15" t="s">
        <v>89</v>
      </c>
      <c r="AA105" s="15" t="s">
        <v>73</v>
      </c>
      <c r="AB105" s="15" t="s">
        <v>1228</v>
      </c>
      <c r="AC105" s="15" t="s">
        <v>1229</v>
      </c>
      <c r="AD105" s="16">
        <v>57.96</v>
      </c>
      <c r="AE105" s="16">
        <v>57.63</v>
      </c>
      <c r="AF105" s="15">
        <v>1.0</v>
      </c>
      <c r="AG105" s="17">
        <f t="shared" si="3"/>
        <v>57.63</v>
      </c>
      <c r="AH105" s="15" t="s">
        <v>44</v>
      </c>
      <c r="AI105" s="15" t="s">
        <v>89</v>
      </c>
      <c r="AJ105" s="15" t="s">
        <v>73</v>
      </c>
      <c r="AK105" s="15" t="s">
        <v>1230</v>
      </c>
      <c r="AL105" s="15" t="s">
        <v>1231</v>
      </c>
      <c r="AM105" s="16">
        <v>57.96</v>
      </c>
      <c r="AN105" s="16">
        <v>57.68</v>
      </c>
      <c r="AO105" s="15">
        <v>1.0</v>
      </c>
      <c r="AP105" s="17">
        <f t="shared" si="4"/>
        <v>57.68</v>
      </c>
      <c r="AQ105" s="15" t="s">
        <v>44</v>
      </c>
      <c r="AR105" s="15" t="s">
        <v>89</v>
      </c>
      <c r="AS105" s="15" t="s">
        <v>135</v>
      </c>
      <c r="AT105" s="15" t="s">
        <v>57</v>
      </c>
      <c r="AU105" s="15" t="s">
        <v>41</v>
      </c>
    </row>
    <row r="106" ht="15.75" hidden="1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 ht="15.75" hidden="1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 ht="15.75" hidden="1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 ht="15.75" hidden="1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 ht="15.75" hidden="1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ht="15.75" hidden="1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 ht="15.75" hidden="1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 ht="15.75" hidden="1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 ht="15.75" hidden="1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</row>
    <row r="115" ht="15.75" hidden="1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 ht="15.75" hidden="1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 ht="15.75" hidden="1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 ht="15.75" hidden="1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 ht="15.75" hidden="1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</row>
    <row r="120" ht="15.75" hidden="1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</row>
    <row r="121" ht="15.75" hidden="1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</row>
    <row r="122" ht="15.75" hidden="1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 ht="15.75" hidden="1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 ht="15.75" hidden="1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 ht="15.75" hidden="1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</row>
    <row r="126" ht="15.75" hidden="1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</row>
    <row r="127" ht="15.75" hidden="1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 ht="15.75" hidden="1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 ht="15.75" hidden="1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 ht="15.75" hidden="1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 ht="15.75" hidden="1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</row>
    <row r="132" ht="15.75" hidden="1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 ht="15.75" hidden="1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ht="15.75" hidden="1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 ht="15.75" hidden="1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</row>
    <row r="136" ht="15.75" hidden="1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ht="15.75" hidden="1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</row>
    <row r="138" ht="15.75" hidden="1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</row>
    <row r="139" ht="15.75" hidden="1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 ht="15.75" hidden="1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 ht="15.75" hidden="1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 ht="15.75" hidden="1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 ht="15.75" hidden="1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</row>
    <row r="144" ht="15.75" hidden="1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</row>
    <row r="145" ht="15.75" hidden="1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 ht="15.75" hidden="1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</row>
    <row r="147" ht="15.75" hidden="1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</row>
    <row r="148" ht="15.75" hidden="1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  <row r="149" ht="15.75" hidden="1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</row>
    <row r="150" ht="15.75" hidden="1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</row>
    <row r="151" ht="15.75" hidden="1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</row>
    <row r="152" ht="15.75" hidden="1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</row>
    <row r="153" ht="15.75" hidden="1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</row>
    <row r="154" ht="15.75" hidden="1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</row>
    <row r="155" ht="15.75" hidden="1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</row>
    <row r="156" ht="15.75" hidden="1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</row>
    <row r="157" ht="15.75" hidden="1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 ht="15.75" hidden="1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</row>
    <row r="159" ht="15.75" hidden="1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</row>
    <row r="160" ht="15.75" hidden="1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</row>
    <row r="161" ht="15.75" hidden="1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</row>
    <row r="162" ht="15.75" hidden="1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</row>
    <row r="163" ht="15.75" hidden="1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</row>
    <row r="164" ht="15.75" hidden="1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</row>
    <row r="165" ht="15.75" hidden="1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</row>
    <row r="166" ht="15.75" hidden="1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</row>
    <row r="167" ht="15.75" hidden="1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 ht="15.75" hidden="1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</row>
    <row r="169" ht="15.75" hidden="1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</row>
    <row r="170" ht="15.75" hidden="1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</row>
    <row r="171" ht="15.75" hidden="1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</row>
    <row r="172" ht="15.75" hidden="1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</row>
    <row r="173" ht="15.75" hidden="1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</row>
    <row r="174" ht="15.75" hidden="1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 ht="15.75" hidden="1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</row>
    <row r="176" ht="15.75" hidden="1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</row>
    <row r="177" ht="15.75" hidden="1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</row>
    <row r="178" ht="15.75" hidden="1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</row>
    <row r="179" ht="15.75" hidden="1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</row>
    <row r="180" ht="15.75" hidden="1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 ht="15.75" hidden="1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 ht="15.75" hidden="1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</row>
    <row r="183" ht="15.75" hidden="1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</row>
    <row r="184" ht="15.75" hidden="1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</row>
    <row r="185" ht="15.75" hidden="1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</row>
    <row r="186" ht="15.75" hidden="1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</row>
    <row r="187" ht="15.75" hidden="1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 ht="15.75" hidden="1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</row>
    <row r="189" ht="15.75" hidden="1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</row>
    <row r="190" ht="15.75" hidden="1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</row>
    <row r="191" ht="15.75" hidden="1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 ht="15.75" hidden="1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 ht="15.75" hidden="1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 ht="15.75" hidden="1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 ht="15.75" hidden="1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</row>
    <row r="196" ht="15.75" hidden="1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</row>
    <row r="197" ht="15.75" hidden="1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</row>
    <row r="198" ht="15.75" hidden="1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</row>
    <row r="199" ht="15.75" hidden="1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</row>
    <row r="200" ht="15.75" hidden="1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</row>
    <row r="201" ht="15.75" hidden="1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</row>
    <row r="202" ht="15.75" hidden="1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</row>
    <row r="203" ht="15.75" hidden="1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</row>
    <row r="204" ht="15.75" hidden="1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</row>
    <row r="205" ht="15.75" hidden="1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</row>
    <row r="206" ht="15.75" hidden="1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</row>
    <row r="207" ht="15.75" hidden="1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</row>
    <row r="208" ht="15.75" hidden="1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</row>
    <row r="209" ht="15.75" hidden="1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</row>
    <row r="210" ht="15.75" hidden="1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</row>
    <row r="211" ht="15.75" hidden="1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</row>
    <row r="212" ht="15.75" hidden="1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</row>
    <row r="213" ht="15.75" hidden="1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</row>
    <row r="214" ht="15.75" hidden="1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</row>
    <row r="215" ht="15.75" hidden="1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</row>
    <row r="216" ht="15.75" hidden="1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</row>
    <row r="217" ht="15.75" hidden="1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</row>
    <row r="218" ht="15.75" hidden="1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</row>
    <row r="219" ht="15.75" hidden="1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</row>
    <row r="220" ht="15.75" hidden="1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</row>
    <row r="221" ht="15.75" hidden="1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</row>
    <row r="222" ht="15.75" hidden="1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</row>
    <row r="223" ht="15.75" hidden="1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</row>
    <row r="224" ht="15.75" hidden="1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</row>
    <row r="225" ht="15.75" hidden="1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</row>
    <row r="226" ht="15.75" hidden="1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</row>
    <row r="227" ht="15.75" hidden="1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</row>
    <row r="228" ht="15.75" hidden="1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</row>
    <row r="229" ht="15.75" hidden="1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</row>
    <row r="230" ht="15.75" hidden="1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</row>
    <row r="231" ht="15.75" hidden="1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</row>
    <row r="232" ht="15.75" hidden="1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</row>
    <row r="233" ht="15.75" hidden="1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</row>
    <row r="234" ht="15.75" hidden="1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</row>
    <row r="235" ht="15.75" hidden="1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</row>
    <row r="236" ht="15.75" hidden="1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</row>
    <row r="237" ht="15.75" hidden="1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</row>
    <row r="238" ht="15.75" hidden="1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</row>
    <row r="239" ht="15.75" hidden="1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</row>
    <row r="240" ht="15.75" hidden="1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</row>
    <row r="241" ht="15.75" hidden="1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</row>
    <row r="242" ht="15.75" hidden="1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</row>
    <row r="243" ht="15.75" hidden="1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</row>
    <row r="244" ht="15.75" hidden="1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</row>
    <row r="245" ht="15.75" hidden="1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</row>
    <row r="246" ht="15.75" hidden="1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</row>
    <row r="247" ht="15.75" hidden="1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</row>
    <row r="248" ht="15.75" hidden="1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</row>
    <row r="249" ht="15.75" hidden="1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</row>
    <row r="250" ht="15.75" hidden="1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</row>
    <row r="251" ht="15.75" hidden="1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</row>
    <row r="252" ht="15.75" hidden="1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</row>
    <row r="253" ht="15.75" hidden="1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</row>
    <row r="254" ht="15.75" hidden="1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</row>
    <row r="255" ht="15.75" hidden="1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</row>
    <row r="256" ht="15.75" hidden="1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</row>
    <row r="257" ht="15.75" hidden="1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</row>
    <row r="258" ht="15.75" hidden="1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</row>
    <row r="259" ht="15.75" hidden="1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</row>
    <row r="260" ht="15.75" hidden="1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</row>
    <row r="261" ht="15.75" hidden="1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</row>
    <row r="262" ht="15.75" hidden="1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</row>
    <row r="263" ht="15.75" hidden="1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</row>
    <row r="264" ht="15.75" hidden="1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</row>
    <row r="265" ht="15.75" hidden="1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</row>
    <row r="266" ht="15.75" hidden="1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</row>
    <row r="267" ht="15.75" hidden="1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</row>
    <row r="268" ht="15.75" hidden="1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</row>
    <row r="269" ht="15.75" hidden="1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</row>
    <row r="270" ht="15.75" hidden="1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</row>
    <row r="271" ht="15.75" hidden="1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</row>
    <row r="272" ht="15.75" hidden="1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</row>
    <row r="273" ht="15.75" hidden="1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</row>
    <row r="274" ht="15.75" hidden="1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</row>
    <row r="275" ht="15.75" hidden="1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</row>
    <row r="276" ht="15.75" hidden="1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</row>
    <row r="277" ht="15.75" hidden="1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</row>
    <row r="278" ht="15.75" hidden="1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</row>
    <row r="279" ht="15.75" hidden="1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</row>
    <row r="280" ht="15.75" hidden="1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</row>
    <row r="281" ht="15.75" hidden="1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</row>
    <row r="282" ht="15.75" hidden="1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</row>
    <row r="283" ht="15.75" hidden="1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</row>
    <row r="284" ht="15.75" hidden="1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</row>
    <row r="285" ht="15.75" hidden="1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</row>
    <row r="286" ht="15.75" hidden="1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</row>
    <row r="287" ht="15.75" hidden="1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</row>
    <row r="288" ht="15.75" hidden="1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</row>
    <row r="289" ht="15.75" hidden="1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</row>
    <row r="290" ht="15.75" hidden="1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</row>
    <row r="291" ht="15.75" hidden="1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</row>
    <row r="292" ht="15.75" hidden="1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</row>
    <row r="293" ht="15.75" hidden="1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</row>
    <row r="294" ht="15.75" hidden="1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</row>
    <row r="295" ht="15.75" hidden="1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</row>
    <row r="296" ht="15.75" hidden="1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</row>
    <row r="297" ht="15.75" hidden="1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</row>
    <row r="298" ht="15.75" hidden="1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</row>
    <row r="299" ht="15.75" hidden="1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</row>
    <row r="300" ht="15.75" hidden="1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</row>
    <row r="301" ht="15.75" hidden="1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</row>
    <row r="302" ht="15.75" hidden="1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</row>
    <row r="303" ht="15.75" hidden="1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</row>
    <row r="304" ht="15.75" hidden="1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</row>
    <row r="305" ht="15.75" hidden="1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</row>
    <row r="306" ht="15.75" hidden="1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</row>
    <row r="307" ht="15.75" hidden="1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</row>
    <row r="308" ht="15.75" hidden="1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</row>
    <row r="309" ht="15.75" hidden="1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</row>
    <row r="310" ht="15.75" hidden="1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</row>
    <row r="311" ht="15.75" hidden="1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</row>
    <row r="312" ht="15.75" hidden="1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</row>
    <row r="313" ht="15.75" hidden="1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</row>
    <row r="314" ht="15.75" hidden="1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</row>
    <row r="315" ht="15.75" hidden="1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</row>
    <row r="316" ht="15.75" hidden="1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</row>
    <row r="317" ht="15.75" hidden="1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</row>
    <row r="318" ht="15.75" hidden="1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</row>
    <row r="319" ht="15.75" hidden="1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</row>
    <row r="320" ht="15.75" hidden="1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</row>
    <row r="321" ht="15.75" hidden="1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</row>
    <row r="322" ht="15.75" hidden="1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</row>
    <row r="323" ht="15.75" hidden="1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</row>
    <row r="324" ht="15.75" hidden="1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</row>
    <row r="325" ht="15.75" hidden="1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</row>
    <row r="326" ht="15.75" hidden="1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</row>
    <row r="327" ht="15.75" hidden="1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</row>
    <row r="328" ht="15.75" hidden="1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</row>
    <row r="329" ht="15.75" hidden="1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</row>
    <row r="330" ht="15.75" hidden="1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</row>
    <row r="331" ht="15.75" hidden="1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</row>
    <row r="332" ht="15.75" hidden="1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</row>
    <row r="333" ht="15.75" hidden="1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</row>
    <row r="334" ht="15.75" hidden="1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</row>
    <row r="335" ht="15.75" hidden="1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</row>
    <row r="336" ht="15.75" hidden="1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</row>
    <row r="337" ht="15.75" hidden="1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</row>
    <row r="338" ht="15.75" hidden="1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</row>
    <row r="339" ht="15.75" hidden="1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</row>
    <row r="340" ht="15.75" hidden="1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</row>
    <row r="341" ht="15.75" hidden="1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</row>
    <row r="342" ht="15.75" hidden="1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</row>
    <row r="343" ht="15.75" hidden="1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</row>
    <row r="344" ht="15.75" hidden="1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</row>
    <row r="345" ht="15.75" hidden="1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</row>
    <row r="346" ht="15.75" hidden="1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</row>
    <row r="347" ht="15.75" hidden="1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</row>
    <row r="348" ht="15.75" hidden="1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</row>
    <row r="349" ht="15.75" hidden="1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</row>
    <row r="350" ht="15.75" hidden="1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</row>
    <row r="351" ht="15.75" hidden="1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</row>
    <row r="352" ht="15.75" hidden="1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</row>
    <row r="353" ht="15.75" hidden="1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</row>
    <row r="354" ht="15.75" hidden="1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</row>
    <row r="355" ht="15.75" hidden="1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</row>
    <row r="356" ht="15.75" hidden="1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</row>
    <row r="357" ht="15.75" hidden="1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</row>
    <row r="358" ht="15.75" hidden="1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</row>
    <row r="359" ht="15.75" hidden="1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</row>
    <row r="360" ht="15.75" hidden="1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</row>
    <row r="361" ht="15.75" hidden="1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</row>
    <row r="362" ht="15.75" hidden="1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</row>
    <row r="363" ht="15.75" hidden="1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</row>
    <row r="364" ht="15.75" hidden="1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</row>
    <row r="365" ht="15.75" hidden="1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</row>
    <row r="366" ht="15.75" hidden="1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</row>
    <row r="367" ht="15.75" hidden="1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</row>
    <row r="368" ht="15.75" hidden="1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</row>
    <row r="369" ht="15.75" hidden="1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</row>
    <row r="370" ht="15.75" hidden="1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</row>
    <row r="371" ht="15.75" hidden="1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</row>
    <row r="372" ht="15.75" hidden="1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</row>
    <row r="373" ht="15.75" hidden="1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</row>
    <row r="374" ht="15.75" hidden="1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</row>
    <row r="375" ht="15.75" hidden="1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</row>
    <row r="376" ht="15.75" hidden="1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</row>
    <row r="377" ht="15.75" hidden="1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</row>
    <row r="378" ht="15.75" hidden="1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</row>
    <row r="379" ht="15.75" hidden="1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</row>
    <row r="380" ht="15.75" hidden="1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</row>
    <row r="381" ht="15.75" hidden="1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</row>
    <row r="382" ht="15.75" hidden="1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</row>
    <row r="383" ht="15.75" hidden="1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</row>
    <row r="384" ht="15.75" hidden="1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</row>
    <row r="385" ht="15.75" hidden="1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</row>
    <row r="386" ht="15.75" hidden="1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</row>
    <row r="387" ht="15.75" hidden="1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</row>
    <row r="388" ht="15.75" hidden="1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</row>
    <row r="389" ht="15.75" hidden="1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</row>
    <row r="390" ht="15.75" hidden="1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</row>
    <row r="391" ht="15.75" hidden="1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</row>
    <row r="392" ht="15.75" hidden="1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</row>
    <row r="393" ht="15.75" hidden="1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</row>
    <row r="394" ht="15.75" hidden="1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</row>
    <row r="395" ht="15.75" hidden="1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</row>
    <row r="396" ht="15.75" hidden="1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</row>
    <row r="397" ht="15.75" hidden="1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</row>
    <row r="398" ht="15.75" hidden="1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</row>
    <row r="399" ht="15.75" hidden="1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</row>
    <row r="400" ht="15.75" hidden="1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</row>
    <row r="401" ht="15.75" hidden="1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</row>
    <row r="402" ht="15.75" hidden="1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</row>
    <row r="403" ht="15.75" hidden="1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</row>
    <row r="404" ht="15.75" hidden="1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</row>
    <row r="405" ht="15.75" hidden="1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</row>
    <row r="406" ht="15.75" hidden="1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</row>
    <row r="407" ht="15.75" hidden="1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</row>
    <row r="408" ht="15.75" hidden="1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</row>
    <row r="409" ht="15.75" hidden="1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</row>
    <row r="410" ht="15.75" hidden="1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</row>
    <row r="411" ht="15.75" hidden="1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</row>
    <row r="412" ht="15.75" hidden="1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</row>
    <row r="413" ht="15.75" hidden="1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</row>
    <row r="414" ht="15.75" hidden="1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</row>
    <row r="415" ht="15.75" hidden="1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</row>
    <row r="416" ht="15.75" hidden="1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</row>
    <row r="417" ht="15.75" hidden="1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</row>
    <row r="418" ht="15.75" hidden="1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</row>
    <row r="419" ht="15.75" hidden="1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</row>
    <row r="420" ht="15.75" hidden="1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</row>
    <row r="421" ht="15.75" hidden="1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</row>
    <row r="422" ht="15.75" hidden="1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</row>
    <row r="423" ht="15.75" hidden="1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</row>
    <row r="424" ht="15.75" hidden="1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</row>
    <row r="425" ht="15.75" hidden="1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</row>
    <row r="426" ht="15.75" hidden="1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</row>
    <row r="427" ht="15.75" hidden="1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</row>
    <row r="428" ht="15.75" hidden="1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</row>
    <row r="429" ht="15.75" hidden="1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</row>
    <row r="430" ht="15.75" hidden="1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</row>
    <row r="431" ht="15.75" hidden="1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</row>
    <row r="432" ht="15.75" hidden="1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</row>
    <row r="433" ht="15.75" hidden="1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</row>
    <row r="434" ht="15.75" hidden="1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</row>
    <row r="435" ht="15.75" hidden="1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</row>
    <row r="436" ht="15.75" hidden="1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</row>
    <row r="437" ht="15.75" hidden="1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</row>
    <row r="438" ht="15.75" hidden="1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</row>
    <row r="439" ht="15.75" hidden="1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</row>
    <row r="440" ht="15.75" hidden="1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</row>
    <row r="441" ht="15.75" hidden="1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</row>
    <row r="442" ht="15.75" hidden="1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</row>
    <row r="443" ht="15.75" hidden="1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</row>
    <row r="444" ht="15.75" hidden="1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</row>
    <row r="445" ht="15.75" hidden="1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</row>
    <row r="446" ht="15.75" hidden="1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</row>
    <row r="447" ht="15.75" hidden="1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</row>
    <row r="448" ht="15.75" hidden="1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</row>
    <row r="449" ht="15.75" hidden="1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</row>
    <row r="450" ht="15.75" hidden="1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</row>
    <row r="451" ht="15.75" hidden="1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</row>
    <row r="452" ht="15.75" hidden="1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</row>
    <row r="453" ht="15.75" hidden="1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</row>
    <row r="454" ht="15.75" hidden="1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</row>
    <row r="455" ht="15.75" hidden="1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</row>
    <row r="456" ht="15.75" hidden="1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</row>
    <row r="457" ht="15.75" hidden="1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</row>
    <row r="458" ht="15.75" hidden="1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</row>
    <row r="459" ht="15.75" hidden="1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</row>
    <row r="460" ht="15.75" hidden="1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</row>
    <row r="461" ht="15.75" hidden="1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</row>
    <row r="462" ht="15.75" hidden="1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</row>
    <row r="463" ht="15.75" hidden="1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</row>
    <row r="464" ht="15.75" hidden="1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</row>
    <row r="465" ht="15.75" hidden="1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</row>
    <row r="466" ht="15.75" hidden="1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</row>
    <row r="467" ht="15.75" hidden="1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</row>
    <row r="468" ht="15.75" hidden="1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</row>
    <row r="469" ht="15.75" hidden="1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</row>
    <row r="470" ht="15.75" hidden="1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</row>
    <row r="471" ht="15.75" hidden="1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</row>
    <row r="472" ht="15.75" hidden="1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</row>
    <row r="473" ht="15.75" hidden="1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</row>
    <row r="474" ht="15.75" hidden="1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</row>
    <row r="475" ht="15.75" hidden="1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</row>
    <row r="476" ht="15.75" hidden="1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</row>
    <row r="477" ht="15.75" hidden="1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</row>
    <row r="478" ht="15.75" hidden="1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</row>
    <row r="479" ht="15.75" hidden="1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</row>
    <row r="480" ht="15.75" hidden="1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</row>
    <row r="481" ht="15.75" hidden="1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</row>
    <row r="482" ht="15.75" hidden="1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</row>
    <row r="483" ht="15.75" hidden="1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</row>
    <row r="484" ht="15.75" hidden="1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</row>
    <row r="485" ht="15.75" hidden="1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</row>
    <row r="486" ht="15.75" hidden="1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</row>
    <row r="487" ht="15.75" hidden="1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</row>
    <row r="488" ht="15.75" hidden="1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</row>
    <row r="489" ht="15.75" hidden="1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</row>
    <row r="490" ht="15.75" hidden="1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</row>
    <row r="491" ht="15.75" hidden="1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</row>
    <row r="492" ht="15.75" hidden="1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</row>
    <row r="493" ht="15.75" hidden="1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</row>
    <row r="494" ht="15.75" hidden="1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</row>
    <row r="495" ht="15.75" hidden="1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</row>
    <row r="496" ht="15.75" hidden="1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</row>
    <row r="497" ht="15.75" hidden="1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</row>
    <row r="498" ht="15.75" hidden="1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</row>
    <row r="499" ht="15.75" hidden="1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</row>
    <row r="500" ht="15.75" hidden="1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</row>
    <row r="501" ht="15.75" hidden="1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</row>
    <row r="502" ht="15.75" hidden="1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</row>
    <row r="503" ht="15.75" hidden="1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</row>
    <row r="504" ht="15.75" hidden="1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</row>
    <row r="505" ht="15.75" hidden="1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</row>
    <row r="506" ht="15.75" hidden="1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</row>
    <row r="507" ht="15.75" hidden="1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</row>
    <row r="508" ht="15.75" hidden="1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</row>
    <row r="509" ht="15.75" hidden="1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</row>
    <row r="510" ht="15.75" hidden="1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</row>
    <row r="511" ht="15.75" hidden="1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</row>
    <row r="512" ht="15.75" hidden="1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</row>
    <row r="513" ht="15.75" hidden="1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</row>
    <row r="514" ht="15.75" hidden="1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</row>
    <row r="515" ht="15.75" hidden="1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</row>
    <row r="516" ht="15.75" hidden="1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</row>
    <row r="517" ht="15.75" hidden="1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</row>
    <row r="518" ht="15.75" hidden="1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</row>
    <row r="519" ht="15.75" hidden="1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</row>
    <row r="520" ht="15.75" hidden="1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</row>
    <row r="521" ht="15.75" hidden="1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</row>
    <row r="522" ht="15.75" hidden="1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</row>
    <row r="523" ht="15.75" hidden="1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</row>
    <row r="524" ht="15.75" hidden="1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</row>
    <row r="525" ht="15.75" hidden="1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</row>
    <row r="526" ht="15.75" hidden="1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</row>
    <row r="527" ht="15.75" hidden="1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</row>
    <row r="528" ht="15.75" hidden="1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</row>
    <row r="529" ht="15.75" hidden="1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</row>
    <row r="530" ht="15.75" hidden="1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</row>
    <row r="531" ht="15.75" hidden="1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</row>
    <row r="532" ht="15.75" hidden="1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</row>
    <row r="533" ht="15.75" hidden="1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</row>
    <row r="534" ht="15.75" hidden="1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</row>
    <row r="535" ht="15.75" hidden="1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</row>
    <row r="536" ht="15.75" hidden="1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</row>
    <row r="537" ht="15.75" hidden="1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</row>
    <row r="538" ht="15.75" hidden="1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</row>
    <row r="539" ht="15.75" hidden="1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</row>
    <row r="540" ht="15.75" hidden="1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</row>
    <row r="541" ht="15.75" hidden="1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</row>
    <row r="542" ht="15.75" hidden="1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</row>
    <row r="543" ht="15.75" hidden="1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</row>
    <row r="544" ht="15.75" hidden="1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</row>
    <row r="545" ht="15.75" hidden="1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</row>
    <row r="546" ht="15.75" hidden="1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</row>
    <row r="547" ht="15.75" hidden="1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</row>
    <row r="548" ht="15.75" hidden="1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</row>
    <row r="549" ht="15.75" hidden="1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</row>
    <row r="550" ht="15.75" hidden="1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</row>
    <row r="551" ht="15.75" hidden="1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</row>
    <row r="552" ht="15.75" hidden="1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</row>
    <row r="553" ht="15.75" hidden="1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</row>
    <row r="554" ht="15.75" hidden="1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</row>
    <row r="555" ht="15.75" hidden="1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</row>
    <row r="556" ht="15.75" hidden="1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</row>
    <row r="557" ht="15.75" hidden="1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</row>
    <row r="558" ht="15.75" hidden="1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</row>
    <row r="559" ht="15.75" hidden="1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</row>
    <row r="560" ht="15.75" hidden="1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</row>
    <row r="561" ht="15.75" hidden="1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</row>
    <row r="562" ht="15.75" hidden="1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</row>
    <row r="563" ht="15.75" hidden="1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</row>
    <row r="564" ht="15.75" hidden="1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</row>
    <row r="565" ht="15.75" hidden="1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</row>
    <row r="566" ht="15.75" hidden="1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</row>
    <row r="567" ht="15.75" hidden="1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</row>
    <row r="568" ht="15.75" hidden="1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</row>
    <row r="569" ht="15.75" hidden="1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</row>
    <row r="570" ht="15.75" hidden="1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</row>
    <row r="571" ht="15.75" hidden="1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</row>
    <row r="572" ht="15.75" hidden="1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</row>
    <row r="573" ht="15.75" hidden="1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</row>
    <row r="574" ht="15.75" hidden="1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</row>
    <row r="575" ht="15.75" hidden="1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</row>
    <row r="576" ht="15.75" hidden="1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</row>
    <row r="577" ht="15.75" hidden="1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</row>
    <row r="578" ht="15.75" hidden="1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</row>
    <row r="579" ht="15.75" hidden="1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</row>
    <row r="580" ht="15.75" hidden="1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</row>
    <row r="581" ht="15.75" hidden="1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</row>
    <row r="582" ht="15.75" hidden="1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</row>
    <row r="583" ht="15.75" hidden="1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</row>
    <row r="584" ht="15.75" hidden="1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</row>
    <row r="585" ht="15.75" hidden="1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</row>
    <row r="586" ht="15.75" hidden="1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</row>
    <row r="587" ht="15.75" hidden="1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</row>
    <row r="588" ht="15.75" hidden="1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</row>
    <row r="589" ht="15.75" hidden="1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</row>
    <row r="590" ht="15.75" hidden="1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</row>
    <row r="591" ht="15.75" hidden="1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</row>
    <row r="592" ht="15.75" hidden="1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</row>
    <row r="593" ht="15.75" hidden="1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</row>
    <row r="594" ht="15.75" hidden="1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</row>
    <row r="595" ht="15.75" hidden="1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</row>
    <row r="596" ht="15.75" hidden="1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</row>
    <row r="597" ht="15.75" hidden="1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</row>
    <row r="598" ht="15.75" hidden="1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</row>
    <row r="599" ht="15.75" hidden="1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</row>
    <row r="600" ht="15.75" hidden="1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</row>
    <row r="601" ht="15.75" hidden="1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</row>
    <row r="602" ht="15.75" hidden="1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</row>
    <row r="603" ht="15.75" hidden="1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</row>
    <row r="604" ht="15.75" hidden="1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</row>
    <row r="605" ht="15.75" hidden="1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</row>
    <row r="606" ht="15.75" hidden="1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</row>
    <row r="607" ht="15.75" hidden="1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</row>
    <row r="608" ht="15.75" hidden="1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</row>
    <row r="609" ht="15.75" hidden="1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</row>
    <row r="610" ht="15.75" hidden="1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</row>
    <row r="611" ht="15.75" hidden="1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</row>
    <row r="612" ht="15.75" hidden="1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</row>
    <row r="613" ht="15.75" hidden="1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</row>
    <row r="614" ht="15.75" hidden="1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</row>
    <row r="615" ht="15.75" hidden="1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</row>
    <row r="616" ht="15.75" hidden="1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</row>
    <row r="617" ht="15.75" hidden="1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</row>
    <row r="618" ht="15.75" hidden="1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</row>
    <row r="619" ht="15.75" hidden="1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</row>
    <row r="620" ht="15.75" hidden="1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</row>
    <row r="621" ht="15.75" hidden="1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</row>
    <row r="622" ht="15.75" hidden="1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</row>
    <row r="623" ht="15.75" hidden="1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</row>
    <row r="624" ht="15.75" hidden="1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</row>
    <row r="625" ht="15.75" hidden="1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</row>
    <row r="626" ht="15.75" hidden="1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</row>
    <row r="627" ht="15.75" hidden="1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</row>
    <row r="628" ht="15.75" hidden="1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</row>
    <row r="629" ht="15.75" hidden="1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</row>
    <row r="630" ht="15.75" hidden="1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</row>
    <row r="631" ht="15.75" hidden="1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</row>
    <row r="632" ht="15.75" hidden="1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</row>
    <row r="633" ht="15.75" hidden="1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</row>
    <row r="634" ht="15.75" hidden="1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</row>
    <row r="635" ht="15.75" hidden="1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</row>
    <row r="636" ht="15.75" hidden="1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</row>
    <row r="637" ht="15.75" hidden="1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</row>
    <row r="638" ht="15.75" hidden="1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</row>
    <row r="639" ht="15.75" hidden="1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</row>
    <row r="640" ht="15.75" hidden="1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</row>
    <row r="641" ht="15.75" hidden="1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</row>
    <row r="642" ht="15.75" hidden="1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</row>
    <row r="643" ht="15.75" hidden="1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</row>
    <row r="644" ht="15.75" hidden="1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</row>
    <row r="645" ht="15.75" hidden="1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</row>
    <row r="646" ht="15.75" hidden="1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</row>
    <row r="647" ht="15.75" hidden="1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</row>
    <row r="648" ht="15.75" hidden="1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</row>
    <row r="649" ht="15.75" hidden="1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</row>
    <row r="650" ht="15.75" hidden="1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</row>
    <row r="651" ht="15.75" hidden="1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</row>
    <row r="652" ht="15.75" hidden="1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</row>
    <row r="653" ht="15.75" hidden="1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</row>
    <row r="654" ht="15.75" hidden="1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</row>
    <row r="655" ht="15.75" hidden="1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</row>
    <row r="656" ht="15.75" hidden="1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</row>
    <row r="657" ht="15.75" hidden="1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</row>
    <row r="658" ht="15.75" hidden="1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</row>
    <row r="659" ht="15.75" hidden="1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</row>
    <row r="660" ht="15.75" hidden="1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</row>
    <row r="661" ht="15.75" hidden="1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</row>
    <row r="662" ht="15.75" hidden="1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</row>
    <row r="663" ht="15.75" hidden="1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</row>
    <row r="664" ht="15.75" hidden="1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</row>
    <row r="665" ht="15.75" hidden="1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</row>
    <row r="666" ht="15.75" hidden="1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</row>
    <row r="667" ht="15.75" hidden="1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</row>
    <row r="668" ht="15.75" hidden="1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</row>
    <row r="669" ht="15.75" hidden="1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</row>
    <row r="670" ht="15.75" hidden="1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</row>
    <row r="671" ht="15.75" hidden="1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</row>
    <row r="672" ht="15.75" hidden="1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</row>
    <row r="673" ht="15.75" hidden="1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</row>
    <row r="674" ht="15.75" hidden="1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</row>
    <row r="675" ht="15.75" hidden="1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</row>
    <row r="676" ht="15.75" hidden="1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</row>
    <row r="677" ht="15.75" hidden="1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</row>
    <row r="678" ht="15.75" hidden="1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</row>
    <row r="679" ht="15.75" hidden="1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</row>
    <row r="680" ht="15.75" hidden="1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</row>
    <row r="681" ht="15.75" hidden="1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</row>
    <row r="682" ht="15.75" hidden="1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</row>
    <row r="683" ht="15.75" hidden="1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</row>
    <row r="684" ht="15.75" hidden="1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</row>
    <row r="685" ht="15.75" hidden="1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</row>
    <row r="686" ht="15.75" hidden="1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</row>
    <row r="687" ht="15.75" hidden="1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</row>
    <row r="688" ht="15.75" hidden="1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</row>
    <row r="689" ht="15.75" hidden="1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</row>
    <row r="690" ht="15.75" hidden="1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</row>
    <row r="691" ht="15.75" hidden="1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</row>
    <row r="692" ht="15.75" hidden="1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</row>
    <row r="693" ht="15.75" hidden="1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</row>
    <row r="694" ht="15.75" hidden="1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</row>
    <row r="695" ht="15.75" hidden="1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</row>
    <row r="696" ht="15.75" hidden="1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</row>
    <row r="697" ht="15.75" hidden="1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</row>
    <row r="698" ht="15.75" hidden="1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</row>
    <row r="699" ht="15.75" hidden="1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</row>
    <row r="700" ht="15.75" hidden="1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</row>
    <row r="701" ht="15.75" hidden="1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</row>
    <row r="702" ht="15.75" hidden="1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</row>
    <row r="703" ht="15.75" hidden="1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</row>
    <row r="704" ht="15.75" hidden="1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</row>
    <row r="705" ht="15.75" hidden="1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</row>
    <row r="706" ht="15.75" hidden="1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</row>
    <row r="707" ht="15.75" hidden="1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</row>
    <row r="708" ht="15.75" hidden="1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</row>
    <row r="709" ht="15.75" hidden="1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</row>
    <row r="710" ht="15.75" hidden="1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</row>
    <row r="711" ht="15.75" hidden="1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</row>
    <row r="712" ht="15.75" hidden="1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</row>
    <row r="713" ht="15.75" hidden="1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</row>
    <row r="714" ht="15.75" hidden="1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</row>
    <row r="715" ht="15.75" hidden="1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</row>
    <row r="716" ht="15.75" hidden="1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</row>
    <row r="717" ht="15.75" hidden="1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</row>
    <row r="718" ht="15.75" hidden="1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</row>
    <row r="719" ht="15.75" hidden="1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</row>
    <row r="720" ht="15.75" hidden="1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</row>
    <row r="721" ht="15.75" hidden="1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</row>
    <row r="722" ht="15.75" hidden="1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</row>
    <row r="723" ht="15.75" hidden="1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</row>
    <row r="724" ht="15.75" hidden="1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</row>
    <row r="725" ht="15.75" hidden="1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</row>
    <row r="726" ht="15.75" hidden="1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</row>
    <row r="727" ht="15.75" hidden="1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</row>
    <row r="728" ht="15.75" hidden="1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</row>
    <row r="729" ht="15.75" hidden="1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</row>
    <row r="730" ht="15.75" hidden="1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</row>
    <row r="731" ht="15.75" hidden="1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</row>
    <row r="732" ht="15.75" hidden="1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</row>
    <row r="733" ht="15.75" hidden="1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</row>
    <row r="734" ht="15.75" hidden="1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</row>
    <row r="735" ht="15.75" hidden="1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</row>
    <row r="736" ht="15.75" hidden="1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</row>
    <row r="737" ht="15.75" hidden="1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</row>
    <row r="738" ht="15.75" hidden="1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</row>
    <row r="739" ht="15.75" hidden="1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</row>
    <row r="740" ht="15.75" hidden="1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</row>
    <row r="741" ht="15.75" hidden="1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</row>
    <row r="742" ht="15.75" hidden="1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</row>
    <row r="743" ht="15.75" hidden="1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</row>
    <row r="744" ht="15.75" hidden="1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</row>
    <row r="745" ht="15.75" hidden="1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</row>
    <row r="746" ht="15.75" hidden="1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</row>
    <row r="747" ht="15.75" hidden="1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</row>
    <row r="748" ht="15.75" hidden="1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</row>
    <row r="749" ht="15.75" hidden="1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</row>
    <row r="750" ht="15.75" hidden="1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</row>
    <row r="751" ht="15.75" hidden="1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</row>
    <row r="752" ht="15.75" hidden="1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</row>
    <row r="753" ht="15.75" hidden="1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</row>
    <row r="754" ht="15.75" hidden="1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</row>
    <row r="755" ht="15.75" hidden="1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</row>
    <row r="756" ht="15.75" hidden="1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</row>
    <row r="757" ht="15.75" hidden="1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</row>
    <row r="758" ht="15.75" hidden="1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</row>
    <row r="759" ht="15.75" hidden="1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</row>
    <row r="760" ht="15.75" hidden="1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</row>
    <row r="761" ht="15.75" hidden="1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</row>
    <row r="762" ht="15.75" hidden="1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</row>
    <row r="763" ht="15.75" hidden="1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</row>
    <row r="764" ht="15.75" hidden="1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</row>
    <row r="765" ht="15.75" hidden="1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</row>
    <row r="766" ht="15.75" hidden="1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</row>
    <row r="767" ht="15.75" hidden="1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</row>
    <row r="768" ht="15.75" hidden="1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</row>
    <row r="769" ht="15.75" hidden="1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</row>
    <row r="770" ht="15.75" hidden="1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</row>
    <row r="771" ht="15.75" hidden="1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</row>
    <row r="772" ht="15.75" hidden="1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</row>
    <row r="773" ht="15.75" hidden="1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</row>
    <row r="774" ht="15.75" hidden="1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</row>
    <row r="775" ht="15.75" hidden="1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</row>
    <row r="776" ht="15.75" hidden="1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</row>
    <row r="777" ht="15.75" hidden="1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</row>
    <row r="778" ht="15.75" hidden="1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</row>
    <row r="779" ht="15.75" hidden="1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</row>
    <row r="780" ht="15.75" hidden="1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</row>
    <row r="781" ht="15.75" hidden="1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</row>
    <row r="782" ht="15.75" hidden="1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</row>
    <row r="783" ht="15.75" hidden="1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</row>
    <row r="784" ht="15.75" hidden="1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</row>
    <row r="785" ht="15.75" hidden="1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</row>
    <row r="786" ht="15.75" hidden="1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</row>
    <row r="787" ht="15.75" hidden="1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</row>
    <row r="788" ht="15.75" hidden="1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</row>
    <row r="789" ht="15.75" hidden="1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</row>
    <row r="790" ht="15.75" hidden="1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</row>
    <row r="791" ht="15.75" hidden="1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</row>
    <row r="792" ht="15.75" hidden="1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</row>
    <row r="793" ht="15.75" hidden="1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</row>
    <row r="794" ht="15.75" hidden="1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</row>
    <row r="795" ht="15.75" hidden="1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</row>
    <row r="796" ht="15.75" hidden="1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</row>
    <row r="797" ht="15.75" hidden="1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</row>
    <row r="798" ht="15.75" hidden="1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</row>
    <row r="799" ht="15.75" hidden="1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</row>
    <row r="800" ht="15.75" hidden="1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</row>
    <row r="801" ht="15.75" hidden="1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</row>
    <row r="802" ht="15.75" hidden="1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</row>
    <row r="803" ht="15.75" hidden="1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</row>
    <row r="804" ht="15.75" hidden="1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</row>
    <row r="805" ht="15.75" hidden="1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</row>
    <row r="806" ht="15.75" hidden="1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</row>
    <row r="807" ht="15.75" hidden="1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</row>
    <row r="808" ht="15.75" hidden="1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</row>
    <row r="809" ht="15.75" hidden="1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</row>
    <row r="810" ht="15.75" hidden="1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</row>
    <row r="811" ht="15.75" hidden="1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</row>
    <row r="812" ht="15.75" hidden="1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</row>
    <row r="813" ht="15.75" hidden="1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</row>
    <row r="814" ht="15.75" hidden="1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</row>
    <row r="815" ht="15.75" hidden="1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</row>
    <row r="816" ht="15.75" hidden="1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</row>
    <row r="817" ht="15.75" hidden="1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</row>
    <row r="818" ht="15.75" hidden="1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</row>
    <row r="819" ht="15.75" hidden="1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</row>
    <row r="820" ht="15.75" hidden="1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</row>
    <row r="821" ht="15.75" hidden="1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</row>
    <row r="822" ht="15.75" hidden="1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</row>
    <row r="823" ht="15.75" hidden="1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</row>
    <row r="824" ht="15.75" hidden="1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</row>
    <row r="825" ht="15.75" hidden="1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</row>
    <row r="826" ht="15.75" hidden="1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</row>
    <row r="827" ht="15.75" hidden="1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</row>
    <row r="828" ht="15.75" hidden="1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</row>
    <row r="829" ht="15.75" hidden="1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</row>
    <row r="830" ht="15.75" hidden="1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</row>
    <row r="831" ht="15.75" hidden="1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</row>
    <row r="832" ht="15.75" hidden="1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</row>
    <row r="833" ht="15.75" hidden="1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</row>
    <row r="834" ht="15.75" hidden="1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</row>
    <row r="835" ht="15.75" hidden="1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</row>
    <row r="836" ht="15.75" hidden="1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</row>
    <row r="837" ht="15.75" hidden="1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</row>
    <row r="838" ht="15.75" hidden="1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</row>
    <row r="839" ht="15.75" hidden="1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</row>
    <row r="840" ht="15.75" hidden="1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</row>
    <row r="841" ht="15.75" hidden="1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</row>
    <row r="842" ht="15.75" hidden="1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</row>
    <row r="843" ht="15.75" hidden="1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</row>
    <row r="844" ht="15.75" hidden="1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</row>
    <row r="845" ht="15.75" hidden="1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</row>
    <row r="846" ht="15.75" hidden="1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</row>
    <row r="847" ht="15.75" hidden="1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</row>
    <row r="848" ht="15.75" hidden="1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</row>
    <row r="849" ht="15.75" hidden="1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</row>
    <row r="850" ht="15.75" hidden="1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</row>
    <row r="851" ht="15.75" hidden="1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</row>
    <row r="852" ht="15.75" hidden="1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</row>
    <row r="853" ht="15.75" hidden="1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</row>
    <row r="854" ht="15.75" hidden="1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</row>
    <row r="855" ht="15.75" hidden="1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</row>
    <row r="856" ht="15.75" hidden="1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</row>
    <row r="857" ht="15.75" hidden="1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</row>
    <row r="858" ht="15.75" hidden="1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</row>
    <row r="859" ht="15.75" hidden="1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</row>
    <row r="860" ht="15.75" hidden="1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</row>
    <row r="861" ht="15.75" hidden="1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</row>
    <row r="862" ht="15.75" hidden="1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</row>
    <row r="863" ht="15.75" hidden="1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</row>
    <row r="864" ht="15.75" hidden="1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</row>
    <row r="865" ht="15.75" hidden="1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</row>
    <row r="866" ht="15.75" hidden="1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</row>
    <row r="867" ht="15.75" hidden="1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</row>
    <row r="868" ht="15.75" hidden="1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</row>
    <row r="869" ht="15.75" hidden="1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</row>
    <row r="870" ht="15.75" hidden="1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</row>
    <row r="871" ht="15.75" hidden="1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</row>
    <row r="872" ht="15.75" hidden="1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</row>
    <row r="873" ht="15.75" hidden="1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</row>
    <row r="874" ht="15.75" hidden="1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</row>
    <row r="875" ht="15.75" hidden="1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</row>
    <row r="876" ht="15.75" hidden="1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</row>
    <row r="877" ht="15.75" hidden="1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</row>
    <row r="878" ht="15.75" hidden="1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</row>
    <row r="879" ht="15.75" hidden="1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</row>
    <row r="880" ht="15.75" hidden="1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</row>
    <row r="881" ht="15.75" hidden="1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</row>
    <row r="882" ht="15.75" hidden="1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</row>
    <row r="883" ht="15.75" hidden="1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</row>
    <row r="884" ht="15.75" hidden="1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</row>
    <row r="885" ht="15.75" hidden="1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</row>
    <row r="886" ht="15.75" hidden="1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</row>
    <row r="887" ht="15.75" hidden="1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</row>
    <row r="888" ht="15.75" hidden="1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</row>
    <row r="889" ht="15.75" hidden="1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</row>
    <row r="890" ht="15.75" hidden="1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</row>
    <row r="891" ht="15.75" hidden="1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</row>
    <row r="892" ht="15.75" hidden="1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</row>
    <row r="893" ht="15.75" hidden="1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</row>
    <row r="894" ht="15.75" hidden="1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</row>
    <row r="895" ht="15.75" hidden="1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</row>
    <row r="896" ht="15.75" hidden="1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</row>
    <row r="897" ht="15.75" hidden="1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</row>
    <row r="898" ht="15.75" hidden="1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</row>
    <row r="899" ht="15.75" hidden="1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</row>
    <row r="900" ht="15.75" hidden="1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</row>
    <row r="901" ht="15.75" hidden="1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</row>
    <row r="902" ht="15.75" hidden="1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</row>
    <row r="903" ht="15.75" hidden="1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</row>
    <row r="904" ht="15.75" hidden="1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</row>
    <row r="905" ht="15.75" hidden="1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</row>
    <row r="906" ht="15.75" hidden="1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</row>
    <row r="907" ht="15.75" hidden="1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</row>
    <row r="908" ht="15.75" hidden="1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</row>
    <row r="909" ht="15.75" hidden="1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</row>
    <row r="910" ht="15.75" hidden="1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</row>
    <row r="911" ht="15.75" hidden="1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</row>
    <row r="912" ht="15.75" hidden="1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</row>
    <row r="913" ht="15.75" hidden="1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</row>
    <row r="914" ht="15.75" hidden="1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</row>
    <row r="915" ht="15.75" hidden="1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</row>
    <row r="916" ht="15.75" hidden="1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</row>
    <row r="917" ht="15.75" hidden="1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</row>
    <row r="918" ht="15.75" hidden="1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</row>
    <row r="919" ht="15.75" hidden="1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</row>
    <row r="920" ht="15.75" hidden="1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</row>
    <row r="921" ht="15.75" hidden="1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</row>
    <row r="922" ht="15.75" hidden="1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</row>
    <row r="923" ht="15.75" hidden="1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</row>
    <row r="924" ht="15.75" hidden="1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</row>
    <row r="925" ht="15.75" hidden="1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</row>
    <row r="926" ht="15.75" hidden="1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</row>
    <row r="927" ht="15.75" hidden="1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</row>
    <row r="928" ht="15.75" hidden="1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</row>
    <row r="929" ht="15.75" hidden="1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0" ht="15.75" hidden="1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</row>
    <row r="931" ht="15.75" hidden="1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</row>
    <row r="932" ht="15.75" hidden="1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</row>
    <row r="933" ht="15.75" hidden="1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</row>
    <row r="934" ht="15.75" hidden="1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</row>
    <row r="935" ht="15.75" hidden="1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</row>
    <row r="936" ht="15.75" hidden="1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</row>
    <row r="937" ht="15.75" hidden="1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</row>
    <row r="938" ht="15.75" hidden="1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</row>
    <row r="939" ht="15.75" hidden="1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</row>
    <row r="940" ht="15.75" hidden="1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</row>
    <row r="941" ht="15.75" hidden="1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</row>
    <row r="942" ht="15.75" hidden="1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</row>
    <row r="943" ht="15.75" hidden="1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</row>
    <row r="944" ht="15.75" hidden="1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</row>
    <row r="945" ht="15.75" hidden="1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</row>
    <row r="946" ht="15.75" hidden="1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</row>
    <row r="947" ht="15.75" hidden="1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</row>
    <row r="948" ht="15.75" hidden="1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</row>
    <row r="949" ht="15.75" hidden="1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</row>
    <row r="950" ht="15.75" hidden="1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</row>
    <row r="951" ht="15.75" hidden="1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</row>
    <row r="952" ht="15.75" hidden="1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</row>
    <row r="953" ht="15.75" hidden="1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</row>
    <row r="954" ht="15.75" hidden="1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</row>
    <row r="955" ht="15.75" hidden="1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</row>
    <row r="956" ht="15.75" hidden="1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</row>
    <row r="957" ht="15.75" hidden="1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</row>
    <row r="958" ht="15.75" hidden="1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</row>
    <row r="959" ht="15.75" hidden="1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</row>
    <row r="960" ht="15.75" hidden="1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</row>
    <row r="961" ht="15.75" hidden="1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</row>
    <row r="962" ht="15.75" hidden="1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</row>
    <row r="963" ht="15.75" hidden="1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</row>
    <row r="964" ht="15.75" hidden="1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</row>
    <row r="965" ht="15.75" hidden="1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</row>
    <row r="966" ht="15.75" hidden="1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</row>
    <row r="967" ht="15.75" hidden="1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</row>
    <row r="968" ht="15.75" hidden="1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</row>
    <row r="969" ht="15.75" hidden="1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</row>
    <row r="970" ht="15.75" hidden="1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</row>
    <row r="971" ht="15.75" hidden="1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</row>
    <row r="972" ht="15.75" hidden="1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</row>
    <row r="973" ht="15.75" hidden="1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</row>
    <row r="974" ht="15.75" hidden="1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</row>
    <row r="975" ht="15.75" hidden="1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</row>
    <row r="976" ht="15.75" hidden="1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</row>
    <row r="977" ht="15.75" hidden="1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</row>
    <row r="978" ht="15.75" hidden="1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</row>
    <row r="979" ht="15.75" hidden="1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</row>
    <row r="980" ht="15.75" hidden="1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</row>
    <row r="981" ht="15.75" hidden="1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</row>
    <row r="982" ht="15.75" hidden="1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</row>
    <row r="983" ht="15.75" hidden="1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</row>
    <row r="984" ht="15.75" hidden="1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</row>
    <row r="985" ht="15.75" hidden="1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</row>
    <row r="986" ht="15.75" hidden="1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</row>
    <row r="987" ht="15.75" hidden="1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</row>
    <row r="988" ht="15.75" hidden="1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</row>
    <row r="989" ht="15.75" hidden="1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</row>
    <row r="990" ht="15.75" hidden="1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</row>
    <row r="991" ht="15.75" hidden="1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</row>
    <row r="992" ht="15.75" hidden="1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</row>
    <row r="993" ht="15.75" hidden="1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</row>
    <row r="994" ht="15.75" hidden="1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</row>
    <row r="995" ht="15.75" hidden="1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</row>
    <row r="996" ht="15.75" hidden="1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</row>
    <row r="997" ht="15.75" hidden="1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</row>
    <row r="998" ht="15.75" hidden="1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</row>
    <row r="999" ht="15.75" hidden="1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</row>
    <row r="1000" ht="15.75" hidden="1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</row>
  </sheetData>
  <mergeCells count="8">
    <mergeCell ref="A1:F1"/>
    <mergeCell ref="A2:F2"/>
    <mergeCell ref="A4:I4"/>
    <mergeCell ref="J4:R4"/>
    <mergeCell ref="S4:AA4"/>
    <mergeCell ref="AB4:AJ4"/>
    <mergeCell ref="AK4:AS4"/>
    <mergeCell ref="AT4:AU4"/>
  </mergeCells>
  <conditionalFormatting sqref="Q6:Q105">
    <cfRule type="expression" dxfId="0" priority="1" stopIfTrue="1">
      <formula>ISNUMBER(SEARCH("Approved",Q6))</formula>
    </cfRule>
  </conditionalFormatting>
  <conditionalFormatting sqref="Q6:Q105">
    <cfRule type="expression" dxfId="1" priority="2" stopIfTrue="1">
      <formula>ISNUMBER(SEARCH("Rejected",Q6))</formula>
    </cfRule>
  </conditionalFormatting>
  <conditionalFormatting sqref="Q6:Q105">
    <cfRule type="expression" dxfId="2" priority="3" stopIfTrue="1">
      <formula>ISNUMBER(SEARCH("Unavailable",Q6))</formula>
    </cfRule>
  </conditionalFormatting>
  <conditionalFormatting sqref="Z6:Z105">
    <cfRule type="expression" dxfId="0" priority="4" stopIfTrue="1">
      <formula>ISNUMBER(SEARCH("Approved",Z6))</formula>
    </cfRule>
  </conditionalFormatting>
  <conditionalFormatting sqref="Z6:Z105">
    <cfRule type="expression" dxfId="1" priority="5" stopIfTrue="1">
      <formula>ISNUMBER(SEARCH("Rejected",Z6))</formula>
    </cfRule>
  </conditionalFormatting>
  <conditionalFormatting sqref="Z6:Z105">
    <cfRule type="expression" dxfId="2" priority="6" stopIfTrue="1">
      <formula>ISNUMBER(SEARCH("Unavailable",Z6))</formula>
    </cfRule>
  </conditionalFormatting>
  <conditionalFormatting sqref="AI6:AI105">
    <cfRule type="expression" dxfId="0" priority="7" stopIfTrue="1">
      <formula>ISNUMBER(SEARCH("Approved",AI6))</formula>
    </cfRule>
  </conditionalFormatting>
  <conditionalFormatting sqref="AI6:AI105">
    <cfRule type="expression" dxfId="1" priority="8" stopIfTrue="1">
      <formula>ISNUMBER(SEARCH("Rejected",AI6))</formula>
    </cfRule>
  </conditionalFormatting>
  <conditionalFormatting sqref="AI6:AI105">
    <cfRule type="expression" dxfId="2" priority="9" stopIfTrue="1">
      <formula>ISNUMBER(SEARCH("Unavailable",AI6))</formula>
    </cfRule>
  </conditionalFormatting>
  <conditionalFormatting sqref="AR6:AR105">
    <cfRule type="expression" dxfId="0" priority="10" stopIfTrue="1">
      <formula>ISNUMBER(SEARCH("Approved",AR6))</formula>
    </cfRule>
  </conditionalFormatting>
  <conditionalFormatting sqref="AR6:AR105">
    <cfRule type="expression" dxfId="1" priority="11" stopIfTrue="1">
      <formula>ISNUMBER(SEARCH("Rejected",AR6))</formula>
    </cfRule>
  </conditionalFormatting>
  <conditionalFormatting sqref="AR6:AR105">
    <cfRule type="expression" dxfId="2" priority="12" stopIfTrue="1">
      <formula>ISNUMBER(SEARCH("Unavailable",AR6))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18.0"/>
    <col customWidth="1" min="4" max="4" width="20.0"/>
    <col customWidth="1" min="5" max="5" width="13.0"/>
    <col customWidth="1" min="6" max="6" width="14.0"/>
    <col customWidth="1" min="7" max="7" width="24.0"/>
    <col customWidth="1" min="8" max="8" width="15.0"/>
    <col customWidth="1" min="9" max="26" width="8.71"/>
  </cols>
  <sheetData>
    <row r="1">
      <c r="A1" s="1" t="s">
        <v>1</v>
      </c>
    </row>
    <row r="2">
      <c r="A2" s="4" t="s">
        <v>2</v>
      </c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</row>
    <row r="5" ht="26.25" customHeight="1">
      <c r="A5" s="6" t="str">
        <f>'Master Catalog Tracker'!A6</f>
        <v>BK1000</v>
      </c>
      <c r="B5" s="8" t="str">
        <f>'Master Catalog Tracker'!B6</f>
        <v>The Drifting Lighthouse</v>
      </c>
      <c r="C5" s="8" t="str">
        <f>'Master Catalog Tracker'!C6</f>
        <v>Rowan Amari</v>
      </c>
      <c r="D5" s="8" t="str">
        <f>'Master Catalog Tracker'!E6</f>
        <v>Book Care Supplies</v>
      </c>
      <c r="E5" s="9">
        <f>'Master Catalog Tracker'!L6</f>
        <v>50.21</v>
      </c>
      <c r="F5" s="9">
        <f>MIN('Master Catalog Tracker'!M6,'Master Catalog Tracker'!V6,'Master Catalog Tracker'!AE6,'Master Catalog Tracker'!AN6)</f>
        <v>55.76</v>
      </c>
      <c r="G5" s="6" t="str">
        <f>IF('Master Catalog Tracker'!M6=F5,"Northgate Book Distribution",IF('Master Catalog Tracker'!V6=F5,"Harrow &amp; Vale Wholesale",IF('Master Catalog Tracker'!AE6=F5,"Wrenfield Media Supply","Solstice Book Trade")))</f>
        <v>Solstice Book Trade</v>
      </c>
      <c r="H5" s="9">
        <f t="shared" ref="H5:H63" si="1">E5-F5</f>
        <v>-5.55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6.25" customHeight="1">
      <c r="A6" s="6" t="str">
        <f>'Master Catalog Tracker'!A7</f>
        <v>BK1001</v>
      </c>
      <c r="B6" s="8" t="str">
        <f>'Master Catalog Tracker'!B7</f>
        <v>The Midnight Ledger</v>
      </c>
      <c r="C6" s="8" t="str">
        <f>'Master Catalog Tracker'!C7</f>
        <v>Rowan Fennimore</v>
      </c>
      <c r="D6" s="8" t="str">
        <f>'Master Catalog Tracker'!E7</f>
        <v>Poetry &amp; Classics</v>
      </c>
      <c r="E6" s="9">
        <f>'Master Catalog Tracker'!L7</f>
        <v>60.19</v>
      </c>
      <c r="F6" s="9">
        <f>MIN('Master Catalog Tracker'!M7,'Master Catalog Tracker'!V7,'Master Catalog Tracker'!AE7,'Master Catalog Tracker'!AN7)</f>
        <v>64.87</v>
      </c>
      <c r="G6" s="6" t="str">
        <f>IF('Master Catalog Tracker'!M7=F6,"Northgate Book Distribution",IF('Master Catalog Tracker'!V7=F6,"Harrow &amp; Vale Wholesale",IF('Master Catalog Tracker'!AE7=F6,"Wrenfield Media Supply","Solstice Book Trade")))</f>
        <v>Wrenfield Media Supply</v>
      </c>
      <c r="H6" s="9">
        <f t="shared" si="1"/>
        <v>-4.68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6.25" customHeight="1">
      <c r="A7" s="6" t="str">
        <f>'Master Catalog Tracker'!A8</f>
        <v>BK1002</v>
      </c>
      <c r="B7" s="8" t="str">
        <f>'Master Catalog Tracker'!B8</f>
        <v>The Paper Signal</v>
      </c>
      <c r="C7" s="8" t="str">
        <f>'Master Catalog Tracker'!C8</f>
        <v>Felix Holloway</v>
      </c>
      <c r="D7" s="8" t="str">
        <f>'Master Catalog Tracker'!E8</f>
        <v>Mystery &amp; Thriller</v>
      </c>
      <c r="E7" s="9">
        <f>'Master Catalog Tracker'!L8</f>
        <v>79.22</v>
      </c>
      <c r="F7" s="9">
        <f>MIN('Master Catalog Tracker'!M8,'Master Catalog Tracker'!V8,'Master Catalog Tracker'!AE8,'Master Catalog Tracker'!AN8)</f>
        <v>83.7</v>
      </c>
      <c r="G7" s="6" t="str">
        <f>IF('Master Catalog Tracker'!M8=F7,"Northgate Book Distribution",IF('Master Catalog Tracker'!V8=F7,"Harrow &amp; Vale Wholesale",IF('Master Catalog Tracker'!AE8=F7,"Wrenfield Media Supply","Solstice Book Trade")))</f>
        <v>Wrenfield Media Supply</v>
      </c>
      <c r="H7" s="9">
        <f t="shared" si="1"/>
        <v>-4.48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6.25" customHeight="1">
      <c r="A8" s="6" t="str">
        <f>'Master Catalog Tracker'!A11</f>
        <v>BK1005</v>
      </c>
      <c r="B8" s="8" t="str">
        <f>'Master Catalog Tracker'!B11</f>
        <v>The Endless Clockwork</v>
      </c>
      <c r="C8" s="8" t="str">
        <f>'Master Catalog Tracker'!C11</f>
        <v>Naomi Marchetti</v>
      </c>
      <c r="D8" s="8" t="str">
        <f>'Master Catalog Tracker'!E11</f>
        <v>Mystery &amp; Thriller</v>
      </c>
      <c r="E8" s="9">
        <f>'Master Catalog Tracker'!L11</f>
        <v>72.86</v>
      </c>
      <c r="F8" s="9">
        <f>MIN('Master Catalog Tracker'!M11,'Master Catalog Tracker'!V11,'Master Catalog Tracker'!AE11,'Master Catalog Tracker'!AN11)</f>
        <v>79.13</v>
      </c>
      <c r="G8" s="6" t="str">
        <f>IF('Master Catalog Tracker'!M11=F8,"Northgate Book Distribution",IF('Master Catalog Tracker'!V11=F8,"Harrow &amp; Vale Wholesale",IF('Master Catalog Tracker'!AE11=F8,"Wrenfield Media Supply","Solstice Book Trade")))</f>
        <v>Harrow &amp; Vale Wholesale</v>
      </c>
      <c r="H8" s="9">
        <f t="shared" si="1"/>
        <v>-6.27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6.25" customHeight="1">
      <c r="A9" s="6" t="str">
        <f>'Master Catalog Tracker'!A12</f>
        <v>BK1006</v>
      </c>
      <c r="B9" s="8" t="str">
        <f>'Master Catalog Tracker'!B12</f>
        <v>The Winter's Bridge</v>
      </c>
      <c r="C9" s="8" t="str">
        <f>'Master Catalog Tracker'!C12</f>
        <v>Naomi Kessler</v>
      </c>
      <c r="D9" s="8" t="str">
        <f>'Master Catalog Tracker'!E12</f>
        <v>Fiction</v>
      </c>
      <c r="E9" s="9">
        <f>'Master Catalog Tracker'!L12</f>
        <v>21.42</v>
      </c>
      <c r="F9" s="9">
        <f>MIN('Master Catalog Tracker'!M12,'Master Catalog Tracker'!V12,'Master Catalog Tracker'!AE12,'Master Catalog Tracker'!AN12)</f>
        <v>22.3</v>
      </c>
      <c r="G9" s="6" t="str">
        <f>IF('Master Catalog Tracker'!M12=F9,"Northgate Book Distribution",IF('Master Catalog Tracker'!V12=F9,"Harrow &amp; Vale Wholesale",IF('Master Catalog Tracker'!AE12=F9,"Wrenfield Media Supply","Solstice Book Trade")))</f>
        <v>Northgate Book Distribution</v>
      </c>
      <c r="H9" s="9">
        <f t="shared" si="1"/>
        <v>-0.88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6.25" customHeight="1">
      <c r="A10" s="6" t="str">
        <f>'Master Catalog Tracker'!A13</f>
        <v>BK1007</v>
      </c>
      <c r="B10" s="8" t="str">
        <f>'Master Catalog Tracker'!B13</f>
        <v>The Wandering Archive</v>
      </c>
      <c r="C10" s="8" t="str">
        <f>'Master Catalog Tracker'!C13</f>
        <v>Marcus Amari</v>
      </c>
      <c r="D10" s="8" t="str">
        <f>'Master Catalog Tracker'!E13</f>
        <v>Poetry &amp; Classics</v>
      </c>
      <c r="E10" s="9">
        <f>'Master Catalog Tracker'!L13</f>
        <v>13.9</v>
      </c>
      <c r="F10" s="9">
        <f>MIN('Master Catalog Tracker'!M13,'Master Catalog Tracker'!V13,'Master Catalog Tracker'!AE13,'Master Catalog Tracker'!AN13)</f>
        <v>13.64</v>
      </c>
      <c r="G10" s="6" t="str">
        <f>IF('Master Catalog Tracker'!M13=F10,"Northgate Book Distribution",IF('Master Catalog Tracker'!V13=F10,"Harrow &amp; Vale Wholesale",IF('Master Catalog Tracker'!AE13=F10,"Wrenfield Media Supply","Solstice Book Trade")))</f>
        <v>Harrow &amp; Vale Wholesale</v>
      </c>
      <c r="H10" s="9">
        <f t="shared" si="1"/>
        <v>0.26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6.25" customHeight="1">
      <c r="A11" s="6" t="str">
        <f>'Master Catalog Tracker'!A15</f>
        <v>BK1009</v>
      </c>
      <c r="B11" s="8" t="str">
        <f>'Master Catalog Tracker'!B15</f>
        <v>The Autumn's Garden</v>
      </c>
      <c r="C11" s="8" t="str">
        <f>'Master Catalog Tracker'!C15</f>
        <v>Aldous Delacroix</v>
      </c>
      <c r="D11" s="8" t="str">
        <f>'Master Catalog Tracker'!E15</f>
        <v>Book Care Supplies</v>
      </c>
      <c r="E11" s="9">
        <f>'Master Catalog Tracker'!L15</f>
        <v>66.2</v>
      </c>
      <c r="F11" s="9">
        <f>MIN('Master Catalog Tracker'!M15,'Master Catalog Tracker'!V15,'Master Catalog Tracker'!AE15,'Master Catalog Tracker'!AN15)</f>
        <v>72.87</v>
      </c>
      <c r="G11" s="6" t="str">
        <f>IF('Master Catalog Tracker'!M15=F11,"Northgate Book Distribution",IF('Master Catalog Tracker'!V15=F11,"Harrow &amp; Vale Wholesale",IF('Master Catalog Tracker'!AE15=F11,"Wrenfield Media Supply","Solstice Book Trade")))</f>
        <v>Wrenfield Media Supply</v>
      </c>
      <c r="H11" s="9">
        <f t="shared" si="1"/>
        <v>-6.67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6.25" customHeight="1">
      <c r="A12" s="6" t="str">
        <f>'Master Catalog Tracker'!A16</f>
        <v>BK1010</v>
      </c>
      <c r="B12" s="8" t="str">
        <f>'Master Catalog Tracker'!B16</f>
        <v>The Distant Meridian</v>
      </c>
      <c r="C12" s="8" t="str">
        <f>'Master Catalog Tracker'!C16</f>
        <v>Miriam Delacroix</v>
      </c>
      <c r="D12" s="8" t="str">
        <f>'Master Catalog Tracker'!E16</f>
        <v>Fiction</v>
      </c>
      <c r="E12" s="9">
        <f>'Master Catalog Tracker'!L16</f>
        <v>5.04</v>
      </c>
      <c r="F12" s="9">
        <f>MIN('Master Catalog Tracker'!M16,'Master Catalog Tracker'!V16,'Master Catalog Tracker'!AE16,'Master Catalog Tracker'!AN16)</f>
        <v>5.29</v>
      </c>
      <c r="G12" s="6" t="str">
        <f>IF('Master Catalog Tracker'!M16=F12,"Northgate Book Distribution",IF('Master Catalog Tracker'!V16=F12,"Harrow &amp; Vale Wholesale",IF('Master Catalog Tracker'!AE16=F12,"Wrenfield Media Supply","Solstice Book Trade")))</f>
        <v>Harrow &amp; Vale Wholesale</v>
      </c>
      <c r="H12" s="9">
        <f t="shared" si="1"/>
        <v>-0.25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6.25" customHeight="1">
      <c r="A13" s="6" t="str">
        <f>'Master Catalog Tracker'!A17</f>
        <v>BK1011</v>
      </c>
      <c r="B13" s="8" t="str">
        <f>'Master Catalog Tracker'!B17</f>
        <v>The Gilded Signal</v>
      </c>
      <c r="C13" s="8" t="str">
        <f>'Master Catalog Tracker'!C17</f>
        <v>Naomi Amari</v>
      </c>
      <c r="D13" s="8" t="str">
        <f>'Master Catalog Tracker'!E17</f>
        <v>Academic &amp; Reference</v>
      </c>
      <c r="E13" s="9">
        <f>'Master Catalog Tracker'!L17</f>
        <v>49.76</v>
      </c>
      <c r="F13" s="9">
        <f>MIN('Master Catalog Tracker'!M17,'Master Catalog Tracker'!V17,'Master Catalog Tracker'!AE17,'Master Catalog Tracker'!AN17)</f>
        <v>56.1</v>
      </c>
      <c r="G13" s="6" t="str">
        <f>IF('Master Catalog Tracker'!M17=F13,"Northgate Book Distribution",IF('Master Catalog Tracker'!V17=F13,"Harrow &amp; Vale Wholesale",IF('Master Catalog Tracker'!AE17=F13,"Wrenfield Media Supply","Solstice Book Trade")))</f>
        <v>Wrenfield Media Supply</v>
      </c>
      <c r="H13" s="9">
        <f t="shared" si="1"/>
        <v>-6.34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6.25" customHeight="1">
      <c r="A14" s="6" t="str">
        <f>'Master Catalog Tracker'!A18</f>
        <v>BK1012</v>
      </c>
      <c r="B14" s="8" t="str">
        <f>'Master Catalog Tracker'!B18</f>
        <v>The Amber Meridian</v>
      </c>
      <c r="C14" s="8" t="str">
        <f>'Master Catalog Tracker'!C18</f>
        <v>Sylvie Sundstrom</v>
      </c>
      <c r="D14" s="8" t="str">
        <f>'Master Catalog Tracker'!E18</f>
        <v>Fiction</v>
      </c>
      <c r="E14" s="9">
        <f>'Master Catalog Tracker'!L18</f>
        <v>83.11</v>
      </c>
      <c r="F14" s="9">
        <f>MIN('Master Catalog Tracker'!M18,'Master Catalog Tracker'!V18,'Master Catalog Tracker'!AE18,'Master Catalog Tracker'!AN18)</f>
        <v>83.14</v>
      </c>
      <c r="G14" s="6" t="str">
        <f>IF('Master Catalog Tracker'!M18=F14,"Northgate Book Distribution",IF('Master Catalog Tracker'!V18=F14,"Harrow &amp; Vale Wholesale",IF('Master Catalog Tracker'!AE18=F14,"Wrenfield Media Supply","Solstice Book Trade")))</f>
        <v>Northgate Book Distribution</v>
      </c>
      <c r="H14" s="9">
        <f t="shared" si="1"/>
        <v>-0.03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6.25" customHeight="1">
      <c r="A15" s="6" t="str">
        <f>'Master Catalog Tracker'!A20</f>
        <v>BK1014</v>
      </c>
      <c r="B15" s="8" t="str">
        <f>'Master Catalog Tracker'!B20</f>
        <v>The Ember Wren</v>
      </c>
      <c r="C15" s="8" t="str">
        <f>'Master Catalog Tracker'!C20</f>
        <v>Desmond Whitlock</v>
      </c>
      <c r="D15" s="8" t="str">
        <f>'Master Catalog Tracker'!E20</f>
        <v>Author Merch &amp; Apparel</v>
      </c>
      <c r="E15" s="9">
        <f>'Master Catalog Tracker'!L20</f>
        <v>81.65</v>
      </c>
      <c r="F15" s="9">
        <f>MIN('Master Catalog Tracker'!M20,'Master Catalog Tracker'!V20,'Master Catalog Tracker'!AE20,'Master Catalog Tracker'!AN20)</f>
        <v>80.82</v>
      </c>
      <c r="G15" s="6" t="str">
        <f>IF('Master Catalog Tracker'!M20=F15,"Northgate Book Distribution",IF('Master Catalog Tracker'!V20=F15,"Harrow &amp; Vale Wholesale",IF('Master Catalog Tracker'!AE20=F15,"Wrenfield Media Supply","Solstice Book Trade")))</f>
        <v>Solstice Book Trade</v>
      </c>
      <c r="H15" s="9">
        <f t="shared" si="1"/>
        <v>0.83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6.25" customHeight="1">
      <c r="A16" s="6" t="str">
        <f>'Master Catalog Tracker'!A21</f>
        <v>BK1015</v>
      </c>
      <c r="B16" s="8" t="str">
        <f>'Master Catalog Tracker'!B21</f>
        <v>The Broken Clockwork</v>
      </c>
      <c r="C16" s="8" t="str">
        <f>'Master Catalog Tracker'!C21</f>
        <v>Tobias Reyes</v>
      </c>
      <c r="D16" s="8" t="str">
        <f>'Master Catalog Tracker'!E21</f>
        <v>Fiction</v>
      </c>
      <c r="E16" s="9">
        <f>'Master Catalog Tracker'!L21</f>
        <v>25.51</v>
      </c>
      <c r="F16" s="9">
        <f>MIN('Master Catalog Tracker'!M21,'Master Catalog Tracker'!V21,'Master Catalog Tracker'!AE21,'Master Catalog Tracker'!AN21)</f>
        <v>26.96</v>
      </c>
      <c r="G16" s="6" t="str">
        <f>IF('Master Catalog Tracker'!M21=F16,"Northgate Book Distribution",IF('Master Catalog Tracker'!V21=F16,"Harrow &amp; Vale Wholesale",IF('Master Catalog Tracker'!AE21=F16,"Wrenfield Media Supply","Solstice Book Trade")))</f>
        <v>Wrenfield Media Supply</v>
      </c>
      <c r="H16" s="9">
        <f t="shared" si="1"/>
        <v>-1.45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6.25" customHeight="1">
      <c r="A17" s="6" t="str">
        <f>'Master Catalog Tracker'!A22</f>
        <v>BK1016</v>
      </c>
      <c r="B17" s="8" t="str">
        <f>'Master Catalog Tracker'!B22</f>
        <v>The Paper Meridian</v>
      </c>
      <c r="C17" s="8" t="str">
        <f>'Master Catalog Tracker'!C22</f>
        <v>Yara Kessler</v>
      </c>
      <c r="D17" s="8" t="str">
        <f>'Master Catalog Tracker'!E22</f>
        <v>Book Preservation &amp; Storage Supplies</v>
      </c>
      <c r="E17" s="9">
        <f>'Master Catalog Tracker'!L22</f>
        <v>25.68</v>
      </c>
      <c r="F17" s="9">
        <f>MIN('Master Catalog Tracker'!M22,'Master Catalog Tracker'!V22,'Master Catalog Tracker'!AE22,'Master Catalog Tracker'!AN22)</f>
        <v>28.31</v>
      </c>
      <c r="G17" s="6" t="str">
        <f>IF('Master Catalog Tracker'!M22=F17,"Northgate Book Distribution",IF('Master Catalog Tracker'!V22=F17,"Harrow &amp; Vale Wholesale",IF('Master Catalog Tracker'!AE22=F17,"Wrenfield Media Supply","Solstice Book Trade")))</f>
        <v>Northgate Book Distribution</v>
      </c>
      <c r="H17" s="9">
        <f t="shared" si="1"/>
        <v>-2.63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6.25" customHeight="1">
      <c r="A18" s="6" t="str">
        <f>'Master Catalog Tracker'!A23</f>
        <v>BK1017</v>
      </c>
      <c r="B18" s="8" t="str">
        <f>'Master Catalog Tracker'!B23</f>
        <v>The Bright Threshold</v>
      </c>
      <c r="C18" s="8" t="str">
        <f>'Master Catalog Tracker'!C23</f>
        <v>Desmond Sundstrom</v>
      </c>
      <c r="D18" s="8" t="str">
        <f>'Master Catalog Tracker'!E23</f>
        <v>Fiction</v>
      </c>
      <c r="E18" s="9">
        <f>'Master Catalog Tracker'!L23</f>
        <v>72.93</v>
      </c>
      <c r="F18" s="9">
        <f>MIN('Master Catalog Tracker'!M23,'Master Catalog Tracker'!V23,'Master Catalog Tracker'!AE23,'Master Catalog Tracker'!AN23)</f>
        <v>89.59</v>
      </c>
      <c r="G18" s="6" t="str">
        <f>IF('Master Catalog Tracker'!M23=F18,"Northgate Book Distribution",IF('Master Catalog Tracker'!V23=F18,"Harrow &amp; Vale Wholesale",IF('Master Catalog Tracker'!AE23=F18,"Wrenfield Media Supply","Solstice Book Trade")))</f>
        <v>Northgate Book Distribution</v>
      </c>
      <c r="H18" s="9">
        <f t="shared" si="1"/>
        <v>-16.66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6.25" customHeight="1">
      <c r="A19" s="6" t="str">
        <f>'Master Catalog Tracker'!A26</f>
        <v>BK1020</v>
      </c>
      <c r="B19" s="8" t="str">
        <f>'Master Catalog Tracker'!B26</f>
        <v>The Winter's Compass</v>
      </c>
      <c r="C19" s="8" t="str">
        <f>'Master Catalog Tracker'!C26</f>
        <v>Priya Sundstrom</v>
      </c>
      <c r="D19" s="8" t="str">
        <f>'Master Catalog Tracker'!E26</f>
        <v>Mystery &amp; Thriller</v>
      </c>
      <c r="E19" s="9">
        <f>'Master Catalog Tracker'!L26</f>
        <v>37.89</v>
      </c>
      <c r="F19" s="9">
        <f>MIN('Master Catalog Tracker'!M26,'Master Catalog Tracker'!V26,'Master Catalog Tracker'!AE26,'Master Catalog Tracker'!AN26)</f>
        <v>43.74</v>
      </c>
      <c r="G19" s="6" t="str">
        <f>IF('Master Catalog Tracker'!M26=F19,"Northgate Book Distribution",IF('Master Catalog Tracker'!V26=F19,"Harrow &amp; Vale Wholesale",IF('Master Catalog Tracker'!AE26=F19,"Wrenfield Media Supply","Solstice Book Trade")))</f>
        <v>Northgate Book Distribution</v>
      </c>
      <c r="H19" s="9">
        <f t="shared" si="1"/>
        <v>-5.85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6.25" customHeight="1">
      <c r="A20" s="6" t="str">
        <f>'Master Catalog Tracker'!A28</f>
        <v>BK1022</v>
      </c>
      <c r="B20" s="8" t="str">
        <f>'Master Catalog Tracker'!B28</f>
        <v>The Wandering Vineyard</v>
      </c>
      <c r="C20" s="8" t="str">
        <f>'Master Catalog Tracker'!C28</f>
        <v>Desmond Vasquez</v>
      </c>
      <c r="D20" s="8" t="str">
        <f>'Master Catalog Tracker'!E28</f>
        <v>Fiction</v>
      </c>
      <c r="E20" s="9">
        <f>'Master Catalog Tracker'!L28</f>
        <v>42.88</v>
      </c>
      <c r="F20" s="9">
        <f>MIN('Master Catalog Tracker'!M28,'Master Catalog Tracker'!V28,'Master Catalog Tracker'!AE28,'Master Catalog Tracker'!AN28)</f>
        <v>41.09</v>
      </c>
      <c r="G20" s="6" t="str">
        <f>IF('Master Catalog Tracker'!M28=F20,"Northgate Book Distribution",IF('Master Catalog Tracker'!V28=F20,"Harrow &amp; Vale Wholesale",IF('Master Catalog Tracker'!AE28=F20,"Wrenfield Media Supply","Solstice Book Trade")))</f>
        <v>Northgate Book Distribution</v>
      </c>
      <c r="H20" s="9">
        <f t="shared" si="1"/>
        <v>1.79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6.25" customHeight="1">
      <c r="A21" s="6" t="str">
        <f>'Master Catalog Tracker'!A30</f>
        <v>BK1024</v>
      </c>
      <c r="B21" s="8" t="str">
        <f>'Master Catalog Tracker'!B30</f>
        <v>The Forgotten Wren</v>
      </c>
      <c r="C21" s="8" t="str">
        <f>'Master Catalog Tracker'!C30</f>
        <v>Sylvie Whitlock</v>
      </c>
      <c r="D21" s="8" t="str">
        <f>'Master Catalog Tracker'!E30</f>
        <v>Fiction</v>
      </c>
      <c r="E21" s="9">
        <f>'Master Catalog Tracker'!L30</f>
        <v>72.74</v>
      </c>
      <c r="F21" s="9">
        <f>MIN('Master Catalog Tracker'!M30,'Master Catalog Tracker'!V30,'Master Catalog Tracker'!AE30,'Master Catalog Tracker'!AN30)</f>
        <v>77.1</v>
      </c>
      <c r="G21" s="6" t="str">
        <f>IF('Master Catalog Tracker'!M30=F21,"Northgate Book Distribution",IF('Master Catalog Tracker'!V30=F21,"Harrow &amp; Vale Wholesale",IF('Master Catalog Tracker'!AE30=F21,"Wrenfield Media Supply","Solstice Book Trade")))</f>
        <v>Harrow &amp; Vale Wholesale</v>
      </c>
      <c r="H21" s="9">
        <f t="shared" si="1"/>
        <v>-4.36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6.25" customHeight="1">
      <c r="A22" s="6" t="str">
        <f>'Master Catalog Tracker'!A31</f>
        <v>BK1025</v>
      </c>
      <c r="B22" s="8" t="str">
        <f>'Master Catalog Tracker'!B31</f>
        <v>The Last Garden</v>
      </c>
      <c r="C22" s="8" t="str">
        <f>'Master Catalog Tracker'!C31</f>
        <v>Desmond Sundstrom</v>
      </c>
      <c r="D22" s="8" t="str">
        <f>'Master Catalog Tracker'!E31</f>
        <v>Fiction</v>
      </c>
      <c r="E22" s="9">
        <f>'Master Catalog Tracker'!L31</f>
        <v>69.39</v>
      </c>
      <c r="F22" s="9">
        <f>MIN('Master Catalog Tracker'!M31,'Master Catalog Tracker'!V31,'Master Catalog Tracker'!AE31,'Master Catalog Tracker'!AN31)</f>
        <v>76.78</v>
      </c>
      <c r="G22" s="6" t="str">
        <f>IF('Master Catalog Tracker'!M31=F22,"Northgate Book Distribution",IF('Master Catalog Tracker'!V31=F22,"Harrow &amp; Vale Wholesale",IF('Master Catalog Tracker'!AE31=F22,"Wrenfield Media Supply","Solstice Book Trade")))</f>
        <v>Harrow &amp; Vale Wholesale</v>
      </c>
      <c r="H22" s="9">
        <f t="shared" si="1"/>
        <v>-7.39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6.25" customHeight="1">
      <c r="A23" s="6" t="str">
        <f>'Master Catalog Tracker'!A32</f>
        <v>BK1026</v>
      </c>
      <c r="B23" s="8" t="str">
        <f>'Master Catalog Tracker'!B32</f>
        <v>The Winter's Letters</v>
      </c>
      <c r="C23" s="8" t="str">
        <f>'Master Catalog Tracker'!C32</f>
        <v>Ines Amari</v>
      </c>
      <c r="D23" s="8" t="str">
        <f>'Master Catalog Tracker'!E32</f>
        <v>Collector's Editions</v>
      </c>
      <c r="E23" s="9">
        <f>'Master Catalog Tracker'!L32</f>
        <v>12.08</v>
      </c>
      <c r="F23" s="9">
        <f>MIN('Master Catalog Tracker'!M32,'Master Catalog Tracker'!V32,'Master Catalog Tracker'!AE32,'Master Catalog Tracker'!AN32)</f>
        <v>11.67</v>
      </c>
      <c r="G23" s="6" t="str">
        <f>IF('Master Catalog Tracker'!M32=F23,"Northgate Book Distribution",IF('Master Catalog Tracker'!V32=F23,"Harrow &amp; Vale Wholesale",IF('Master Catalog Tracker'!AE32=F23,"Wrenfield Media Supply","Solstice Book Trade")))</f>
        <v>Wrenfield Media Supply</v>
      </c>
      <c r="H23" s="9">
        <f t="shared" si="1"/>
        <v>0.41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6.25" customHeight="1">
      <c r="A24" s="6" t="str">
        <f>'Master Catalog Tracker'!A33</f>
        <v>BK1027</v>
      </c>
      <c r="B24" s="8" t="str">
        <f>'Master Catalog Tracker'!B33</f>
        <v>The Midnight Harbor</v>
      </c>
      <c r="C24" s="8" t="str">
        <f>'Master Catalog Tracker'!C33</f>
        <v>Priya Whitlock</v>
      </c>
      <c r="D24" s="8" t="str">
        <f>'Master Catalog Tracker'!E33</f>
        <v>Book Preservation &amp; Storage Supplies</v>
      </c>
      <c r="E24" s="9">
        <f>'Master Catalog Tracker'!L33</f>
        <v>79.03</v>
      </c>
      <c r="F24" s="9">
        <f>MIN('Master Catalog Tracker'!M33,'Master Catalog Tracker'!V33,'Master Catalog Tracker'!AE33,'Master Catalog Tracker'!AN33)</f>
        <v>89.21</v>
      </c>
      <c r="G24" s="6" t="str">
        <f>IF('Master Catalog Tracker'!M33=F24,"Northgate Book Distribution",IF('Master Catalog Tracker'!V33=F24,"Harrow &amp; Vale Wholesale",IF('Master Catalog Tracker'!AE33=F24,"Wrenfield Media Supply","Solstice Book Trade")))</f>
        <v>Northgate Book Distribution</v>
      </c>
      <c r="H24" s="9">
        <f t="shared" si="1"/>
        <v>-10.18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6.25" customHeight="1">
      <c r="A25" s="6" t="str">
        <f>'Master Catalog Tracker'!A34</f>
        <v>BK1028</v>
      </c>
      <c r="B25" s="8" t="str">
        <f>'Master Catalog Tracker'!B34</f>
        <v>The Faded Chronicle</v>
      </c>
      <c r="C25" s="8" t="str">
        <f>'Master Catalog Tracker'!C34</f>
        <v>Priya Holloway</v>
      </c>
      <c r="D25" s="8" t="str">
        <f>'Master Catalog Tracker'!E34</f>
        <v>Collector's Editions</v>
      </c>
      <c r="E25" s="9">
        <f>'Master Catalog Tracker'!L34</f>
        <v>45.87</v>
      </c>
      <c r="F25" s="9">
        <f>MIN('Master Catalog Tracker'!M34,'Master Catalog Tracker'!V34,'Master Catalog Tracker'!AE34,'Master Catalog Tracker'!AN34)</f>
        <v>45.33</v>
      </c>
      <c r="G25" s="6" t="str">
        <f>IF('Master Catalog Tracker'!M34=F25,"Northgate Book Distribution",IF('Master Catalog Tracker'!V34=F25,"Harrow &amp; Vale Wholesale",IF('Master Catalog Tracker'!AE34=F25,"Wrenfield Media Supply","Solstice Book Trade")))</f>
        <v>Northgate Book Distribution</v>
      </c>
      <c r="H25" s="9">
        <f t="shared" si="1"/>
        <v>0.54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6.25" customHeight="1">
      <c r="A26" s="6" t="str">
        <f>'Master Catalog Tracker'!A36</f>
        <v>BK1030</v>
      </c>
      <c r="B26" s="8" t="str">
        <f>'Master Catalog Tracker'!B36</f>
        <v>The Bright Hourglass</v>
      </c>
      <c r="C26" s="8" t="str">
        <f>'Master Catalog Tracker'!C36</f>
        <v>Tobias Whitlock</v>
      </c>
      <c r="D26" s="8" t="str">
        <f>'Master Catalog Tracker'!E36</f>
        <v>Mystery &amp; Thriller</v>
      </c>
      <c r="E26" s="9">
        <f>'Master Catalog Tracker'!L36</f>
        <v>42.13</v>
      </c>
      <c r="F26" s="9">
        <f>MIN('Master Catalog Tracker'!M36,'Master Catalog Tracker'!V36,'Master Catalog Tracker'!AE36,'Master Catalog Tracker'!AN36)</f>
        <v>45.38</v>
      </c>
      <c r="G26" s="6" t="str">
        <f>IF('Master Catalog Tracker'!M36=F26,"Northgate Book Distribution",IF('Master Catalog Tracker'!V36=F26,"Harrow &amp; Vale Wholesale",IF('Master Catalog Tracker'!AE36=F26,"Wrenfield Media Supply","Solstice Book Trade")))</f>
        <v>Wrenfield Media Supply</v>
      </c>
      <c r="H26" s="9">
        <f t="shared" si="1"/>
        <v>-3.25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6.25" customHeight="1">
      <c r="A27" s="6" t="str">
        <f>'Master Catalog Tracker'!A38</f>
        <v>BK1032</v>
      </c>
      <c r="B27" s="8" t="str">
        <f>'Master Catalog Tracker'!B38</f>
        <v>The Forgotten Signal</v>
      </c>
      <c r="C27" s="8" t="str">
        <f>'Master Catalog Tracker'!C38</f>
        <v>Aldous Holloway</v>
      </c>
      <c r="D27" s="8" t="str">
        <f>'Master Catalog Tracker'!E38</f>
        <v>Mystery &amp; Thriller</v>
      </c>
      <c r="E27" s="9">
        <f>'Master Catalog Tracker'!L38</f>
        <v>12.34</v>
      </c>
      <c r="F27" s="9">
        <f>MIN('Master Catalog Tracker'!M38,'Master Catalog Tracker'!V38,'Master Catalog Tracker'!AE38,'Master Catalog Tracker'!AN38)</f>
        <v>12.52</v>
      </c>
      <c r="G27" s="6" t="str">
        <f>IF('Master Catalog Tracker'!M38=F27,"Northgate Book Distribution",IF('Master Catalog Tracker'!V38=F27,"Harrow &amp; Vale Wholesale",IF('Master Catalog Tracker'!AE38=F27,"Wrenfield Media Supply","Solstice Book Trade")))</f>
        <v>Harrow &amp; Vale Wholesale</v>
      </c>
      <c r="H27" s="9">
        <f t="shared" si="1"/>
        <v>-0.18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6.25" customHeight="1">
      <c r="A28" s="6" t="str">
        <f>'Master Catalog Tracker'!A40</f>
        <v>BK1034</v>
      </c>
      <c r="B28" s="8" t="str">
        <f>'Master Catalog Tracker'!B40</f>
        <v>The Forgotten River</v>
      </c>
      <c r="C28" s="8" t="str">
        <f>'Master Catalog Tracker'!C40</f>
        <v>Elena Delacroix</v>
      </c>
      <c r="D28" s="8" t="str">
        <f>'Master Catalog Tracker'!E40</f>
        <v>Audiobooks &amp; Digital</v>
      </c>
      <c r="E28" s="9">
        <f>'Master Catalog Tracker'!L40</f>
        <v>7.16</v>
      </c>
      <c r="F28" s="9">
        <f>MIN('Master Catalog Tracker'!M40,'Master Catalog Tracker'!V40,'Master Catalog Tracker'!AE40,'Master Catalog Tracker'!AN40)</f>
        <v>7.18</v>
      </c>
      <c r="G28" s="6" t="str">
        <f>IF('Master Catalog Tracker'!M40=F28,"Northgate Book Distribution",IF('Master Catalog Tracker'!V40=F28,"Harrow &amp; Vale Wholesale",IF('Master Catalog Tracker'!AE40=F28,"Wrenfield Media Supply","Solstice Book Trade")))</f>
        <v>Wrenfield Media Supply</v>
      </c>
      <c r="H28" s="9">
        <f t="shared" si="1"/>
        <v>-0.02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6.25" customHeight="1">
      <c r="A29" s="6" t="str">
        <f>'Master Catalog Tracker'!A41</f>
        <v>BK1035</v>
      </c>
      <c r="B29" s="8" t="str">
        <f>'Master Catalog Tracker'!B41</f>
        <v>The Midnight Clockwork</v>
      </c>
      <c r="C29" s="8" t="str">
        <f>'Master Catalog Tracker'!C41</f>
        <v>Miriam Osei</v>
      </c>
      <c r="D29" s="8" t="str">
        <f>'Master Catalog Tracker'!E41</f>
        <v>Poetry &amp; Classics</v>
      </c>
      <c r="E29" s="9">
        <f>'Master Catalog Tracker'!L41</f>
        <v>67.75</v>
      </c>
      <c r="F29" s="9">
        <f>MIN('Master Catalog Tracker'!M41,'Master Catalog Tracker'!V41,'Master Catalog Tracker'!AE41,'Master Catalog Tracker'!AN41)</f>
        <v>67.8</v>
      </c>
      <c r="G29" s="6" t="str">
        <f>IF('Master Catalog Tracker'!M41=F29,"Northgate Book Distribution",IF('Master Catalog Tracker'!V41=F29,"Harrow &amp; Vale Wholesale",IF('Master Catalog Tracker'!AE41=F29,"Wrenfield Media Supply","Solstice Book Trade")))</f>
        <v>Harrow &amp; Vale Wholesale</v>
      </c>
      <c r="H29" s="9">
        <f t="shared" si="1"/>
        <v>-0.05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6.25" customHeight="1">
      <c r="A30" s="6" t="str">
        <f>'Master Catalog Tracker'!A42</f>
        <v>BK1036</v>
      </c>
      <c r="B30" s="8" t="str">
        <f>'Master Catalog Tracker'!B42</f>
        <v>The Blue Ledger</v>
      </c>
      <c r="C30" s="8" t="str">
        <f>'Master Catalog Tracker'!C42</f>
        <v>Junia Okafor</v>
      </c>
      <c r="D30" s="8" t="str">
        <f>'Master Catalog Tracker'!E42</f>
        <v>Academic &amp; Reference</v>
      </c>
      <c r="E30" s="9">
        <f>'Master Catalog Tracker'!L42</f>
        <v>28.31</v>
      </c>
      <c r="F30" s="9">
        <f>MIN('Master Catalog Tracker'!M42,'Master Catalog Tracker'!V42,'Master Catalog Tracker'!AE42,'Master Catalog Tracker'!AN42)</f>
        <v>33.5</v>
      </c>
      <c r="G30" s="6" t="str">
        <f>IF('Master Catalog Tracker'!M42=F30,"Northgate Book Distribution",IF('Master Catalog Tracker'!V42=F30,"Harrow &amp; Vale Wholesale",IF('Master Catalog Tracker'!AE42=F30,"Wrenfield Media Supply","Solstice Book Trade")))</f>
        <v>Northgate Book Distribution</v>
      </c>
      <c r="H30" s="9">
        <f t="shared" si="1"/>
        <v>-5.19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6.25" customHeight="1">
      <c r="A31" s="6" t="str">
        <f>'Master Catalog Tracker'!A43</f>
        <v>BK1037</v>
      </c>
      <c r="B31" s="8" t="str">
        <f>'Master Catalog Tracker'!B43</f>
        <v>The Drifting Compass</v>
      </c>
      <c r="C31" s="8" t="str">
        <f>'Master Catalog Tracker'!C43</f>
        <v>Marcus Amari</v>
      </c>
      <c r="D31" s="8" t="str">
        <f>'Master Catalog Tracker'!E43</f>
        <v>Academic &amp; Reference</v>
      </c>
      <c r="E31" s="9">
        <f>'Master Catalog Tracker'!L43</f>
        <v>68.94</v>
      </c>
      <c r="F31" s="9">
        <f>MIN('Master Catalog Tracker'!M43,'Master Catalog Tracker'!V43,'Master Catalog Tracker'!AE43,'Master Catalog Tracker'!AN43)</f>
        <v>78.14</v>
      </c>
      <c r="G31" s="6" t="str">
        <f>IF('Master Catalog Tracker'!M43=F31,"Northgate Book Distribution",IF('Master Catalog Tracker'!V43=F31,"Harrow &amp; Vale Wholesale",IF('Master Catalog Tracker'!AE43=F31,"Wrenfield Media Supply","Solstice Book Trade")))</f>
        <v>Northgate Book Distribution</v>
      </c>
      <c r="H31" s="9">
        <f t="shared" si="1"/>
        <v>-9.2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6.25" customHeight="1">
      <c r="A32" s="6" t="str">
        <f>'Master Catalog Tracker'!A45</f>
        <v>BK1039</v>
      </c>
      <c r="B32" s="8" t="str">
        <f>'Master Catalog Tracker'!B45</f>
        <v>The Blue Almanac</v>
      </c>
      <c r="C32" s="8" t="str">
        <f>'Master Catalog Tracker'!C45</f>
        <v>Aldous Holloway</v>
      </c>
      <c r="D32" s="8" t="str">
        <f>'Master Catalog Tracker'!E45</f>
        <v>Book Care Supplies</v>
      </c>
      <c r="E32" s="9">
        <f>'Master Catalog Tracker'!L45</f>
        <v>41.02</v>
      </c>
      <c r="F32" s="9">
        <f>MIN('Master Catalog Tracker'!M45,'Master Catalog Tracker'!V45,'Master Catalog Tracker'!AE45,'Master Catalog Tracker'!AN45)</f>
        <v>43.52</v>
      </c>
      <c r="G32" s="6" t="str">
        <f>IF('Master Catalog Tracker'!M45=F32,"Northgate Book Distribution",IF('Master Catalog Tracker'!V45=F32,"Harrow &amp; Vale Wholesale",IF('Master Catalog Tracker'!AE45=F32,"Wrenfield Media Supply","Solstice Book Trade")))</f>
        <v>Harrow &amp; Vale Wholesale</v>
      </c>
      <c r="H32" s="9">
        <f t="shared" si="1"/>
        <v>-2.5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6.25" customHeight="1">
      <c r="A33" s="6" t="str">
        <f>'Master Catalog Tracker'!A48</f>
        <v>BK1042</v>
      </c>
      <c r="B33" s="8" t="str">
        <f>'Master Catalog Tracker'!B48</f>
        <v>The Autumn's Archive</v>
      </c>
      <c r="C33" s="8" t="str">
        <f>'Master Catalog Tracker'!C48</f>
        <v>Desmond Whitlock</v>
      </c>
      <c r="D33" s="8" t="str">
        <f>'Master Catalog Tracker'!E48</f>
        <v>Mystery &amp; Thriller</v>
      </c>
      <c r="E33" s="9">
        <f>'Master Catalog Tracker'!L48</f>
        <v>17.92</v>
      </c>
      <c r="F33" s="9">
        <f>MIN('Master Catalog Tracker'!M48,'Master Catalog Tracker'!V48,'Master Catalog Tracker'!AE48,'Master Catalog Tracker'!AN48)</f>
        <v>19.08</v>
      </c>
      <c r="G33" s="6" t="str">
        <f>IF('Master Catalog Tracker'!M48=F33,"Northgate Book Distribution",IF('Master Catalog Tracker'!V48=F33,"Harrow &amp; Vale Wholesale",IF('Master Catalog Tracker'!AE48=F33,"Wrenfield Media Supply","Solstice Book Trade")))</f>
        <v>Northgate Book Distribution</v>
      </c>
      <c r="H33" s="9">
        <f t="shared" si="1"/>
        <v>-1.16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6.25" customHeight="1">
      <c r="A34" s="6" t="str">
        <f>'Master Catalog Tracker'!A50</f>
        <v>BK1044</v>
      </c>
      <c r="B34" s="8" t="str">
        <f>'Master Catalog Tracker'!B50</f>
        <v>The Paper Letters</v>
      </c>
      <c r="C34" s="8" t="str">
        <f>'Master Catalog Tracker'!C50</f>
        <v>Sylvie Bergstrom</v>
      </c>
      <c r="D34" s="8" t="str">
        <f>'Master Catalog Tracker'!E50</f>
        <v>Book Care Supplies</v>
      </c>
      <c r="E34" s="9">
        <f>'Master Catalog Tracker'!L50</f>
        <v>29.31</v>
      </c>
      <c r="F34" s="9">
        <f>MIN('Master Catalog Tracker'!M50,'Master Catalog Tracker'!V50,'Master Catalog Tracker'!AE50,'Master Catalog Tracker'!AN50)</f>
        <v>33.23</v>
      </c>
      <c r="G34" s="6" t="str">
        <f>IF('Master Catalog Tracker'!M50=F34,"Northgate Book Distribution",IF('Master Catalog Tracker'!V50=F34,"Harrow &amp; Vale Wholesale",IF('Master Catalog Tracker'!AE50=F34,"Wrenfield Media Supply","Solstice Book Trade")))</f>
        <v>Solstice Book Trade</v>
      </c>
      <c r="H34" s="9">
        <f t="shared" si="1"/>
        <v>-3.92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6.25" customHeight="1">
      <c r="A35" s="6" t="str">
        <f>'Master Catalog Tracker'!A54</f>
        <v>BK1048</v>
      </c>
      <c r="B35" s="8" t="str">
        <f>'Master Catalog Tracker'!B54</f>
        <v>The Gilded Archive</v>
      </c>
      <c r="C35" s="8" t="str">
        <f>'Master Catalog Tracker'!C54</f>
        <v>Miriam Reyes</v>
      </c>
      <c r="D35" s="8" t="str">
        <f>'Master Catalog Tracker'!E54</f>
        <v>Children's &amp; YA</v>
      </c>
      <c r="E35" s="9">
        <f>'Master Catalog Tracker'!L54</f>
        <v>12.84</v>
      </c>
      <c r="F35" s="9">
        <f>MIN('Master Catalog Tracker'!M54,'Master Catalog Tracker'!V54,'Master Catalog Tracker'!AE54,'Master Catalog Tracker'!AN54)</f>
        <v>14.03</v>
      </c>
      <c r="G35" s="6" t="str">
        <f>IF('Master Catalog Tracker'!M54=F35,"Northgate Book Distribution",IF('Master Catalog Tracker'!V54=F35,"Harrow &amp; Vale Wholesale",IF('Master Catalog Tracker'!AE54=F35,"Wrenfield Media Supply","Solstice Book Trade")))</f>
        <v>Wrenfield Media Supply</v>
      </c>
      <c r="H35" s="9">
        <f t="shared" si="1"/>
        <v>-1.19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6.25" customHeight="1">
      <c r="A36" s="6" t="str">
        <f>'Master Catalog Tracker'!A58</f>
        <v>BK1052</v>
      </c>
      <c r="B36" s="8" t="str">
        <f>'Master Catalog Tracker'!B58</f>
        <v>The Blue Harbor</v>
      </c>
      <c r="C36" s="8" t="str">
        <f>'Master Catalog Tracker'!C58</f>
        <v>Miriam Osei</v>
      </c>
      <c r="D36" s="8" t="str">
        <f>'Master Catalog Tracker'!E58</f>
        <v>Collector's Editions</v>
      </c>
      <c r="E36" s="9">
        <f>'Master Catalog Tracker'!L58</f>
        <v>32.09</v>
      </c>
      <c r="F36" s="9">
        <f>MIN('Master Catalog Tracker'!M58,'Master Catalog Tracker'!V58,'Master Catalog Tracker'!AE58,'Master Catalog Tracker'!AN58)</f>
        <v>36.09</v>
      </c>
      <c r="G36" s="6" t="str">
        <f>IF('Master Catalog Tracker'!M58=F36,"Northgate Book Distribution",IF('Master Catalog Tracker'!V58=F36,"Harrow &amp; Vale Wholesale",IF('Master Catalog Tracker'!AE58=F36,"Wrenfield Media Supply","Solstice Book Trade")))</f>
        <v>Wrenfield Media Supply</v>
      </c>
      <c r="H36" s="9">
        <f t="shared" si="1"/>
        <v>-4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6.25" customHeight="1">
      <c r="A37" s="6" t="str">
        <f>'Master Catalog Tracker'!A59</f>
        <v>BK1053</v>
      </c>
      <c r="B37" s="8" t="str">
        <f>'Master Catalog Tracker'!B59</f>
        <v>The Endless Archive</v>
      </c>
      <c r="C37" s="8" t="str">
        <f>'Master Catalog Tracker'!C59</f>
        <v>Yara Okafor</v>
      </c>
      <c r="D37" s="8" t="str">
        <f>'Master Catalog Tracker'!E59</f>
        <v>Book Preservation &amp; Storage Supplies</v>
      </c>
      <c r="E37" s="9">
        <f>'Master Catalog Tracker'!L59</f>
        <v>72.81</v>
      </c>
      <c r="F37" s="9">
        <f>MIN('Master Catalog Tracker'!M59,'Master Catalog Tracker'!V59,'Master Catalog Tracker'!AE59,'Master Catalog Tracker'!AN59)</f>
        <v>79.09</v>
      </c>
      <c r="G37" s="6" t="str">
        <f>IF('Master Catalog Tracker'!M59=F37,"Northgate Book Distribution",IF('Master Catalog Tracker'!V59=F37,"Harrow &amp; Vale Wholesale",IF('Master Catalog Tracker'!AE59=F37,"Wrenfield Media Supply","Solstice Book Trade")))</f>
        <v>Harrow &amp; Vale Wholesale</v>
      </c>
      <c r="H37" s="9">
        <f t="shared" si="1"/>
        <v>-6.28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26.25" customHeight="1">
      <c r="A38" s="6" t="str">
        <f>'Master Catalog Tracker'!A60</f>
        <v>BK1054</v>
      </c>
      <c r="B38" s="8" t="str">
        <f>'Master Catalog Tracker'!B60</f>
        <v>The Crooked River</v>
      </c>
      <c r="C38" s="8" t="str">
        <f>'Master Catalog Tracker'!C60</f>
        <v>Odette Sundstrom</v>
      </c>
      <c r="D38" s="8" t="str">
        <f>'Master Catalog Tracker'!E60</f>
        <v>Fiction</v>
      </c>
      <c r="E38" s="9">
        <f>'Master Catalog Tracker'!L60</f>
        <v>77.76</v>
      </c>
      <c r="F38" s="9">
        <f>MIN('Master Catalog Tracker'!M60,'Master Catalog Tracker'!V60,'Master Catalog Tracker'!AE60,'Master Catalog Tracker'!AN60)</f>
        <v>77.1</v>
      </c>
      <c r="G38" s="6" t="str">
        <f>IF('Master Catalog Tracker'!M60=F38,"Northgate Book Distribution",IF('Master Catalog Tracker'!V60=F38,"Harrow &amp; Vale Wholesale",IF('Master Catalog Tracker'!AE60=F38,"Wrenfield Media Supply","Solstice Book Trade")))</f>
        <v>Wrenfield Media Supply</v>
      </c>
      <c r="H38" s="9">
        <f t="shared" si="1"/>
        <v>0.66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26.25" customHeight="1">
      <c r="A39" s="6" t="str">
        <f>'Master Catalog Tracker'!A62</f>
        <v>BK1056</v>
      </c>
      <c r="B39" s="8" t="str">
        <f>'Master Catalog Tracker'!B62</f>
        <v>The Amber Meridian</v>
      </c>
      <c r="C39" s="8" t="str">
        <f>'Master Catalog Tracker'!C62</f>
        <v>Sylvie Novak</v>
      </c>
      <c r="D39" s="8" t="str">
        <f>'Master Catalog Tracker'!E62</f>
        <v>Fiction</v>
      </c>
      <c r="E39" s="9">
        <f>'Master Catalog Tracker'!L62</f>
        <v>75.92</v>
      </c>
      <c r="F39" s="9">
        <f>MIN('Master Catalog Tracker'!M62,'Master Catalog Tracker'!V62,'Master Catalog Tracker'!AE62,'Master Catalog Tracker'!AN62)</f>
        <v>88.82</v>
      </c>
      <c r="G39" s="6" t="str">
        <f>IF('Master Catalog Tracker'!M62=F39,"Northgate Book Distribution",IF('Master Catalog Tracker'!V62=F39,"Harrow &amp; Vale Wholesale",IF('Master Catalog Tracker'!AE62=F39,"Wrenfield Media Supply","Solstice Book Trade")))</f>
        <v>Northgate Book Distribution</v>
      </c>
      <c r="H39" s="9">
        <f t="shared" si="1"/>
        <v>-12.9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26.25" customHeight="1">
      <c r="A40" s="6" t="str">
        <f>'Master Catalog Tracker'!A63</f>
        <v>BK1057</v>
      </c>
      <c r="B40" s="8" t="str">
        <f>'Master Catalog Tracker'!B63</f>
        <v>The Midnight Orchard</v>
      </c>
      <c r="C40" s="8" t="str">
        <f>'Master Catalog Tracker'!C63</f>
        <v>Sylvie Whitlock</v>
      </c>
      <c r="D40" s="8" t="str">
        <f>'Master Catalog Tracker'!E63</f>
        <v>Display Furniture &amp; Shelving</v>
      </c>
      <c r="E40" s="9">
        <f>'Master Catalog Tracker'!L63</f>
        <v>46.83</v>
      </c>
      <c r="F40" s="9">
        <f>MIN('Master Catalog Tracker'!M63,'Master Catalog Tracker'!V63,'Master Catalog Tracker'!AE63,'Master Catalog Tracker'!AN63)</f>
        <v>57.28</v>
      </c>
      <c r="G40" s="6" t="str">
        <f>IF('Master Catalog Tracker'!M63=F40,"Northgate Book Distribution",IF('Master Catalog Tracker'!V63=F40,"Harrow &amp; Vale Wholesale",IF('Master Catalog Tracker'!AE63=F40,"Wrenfield Media Supply","Solstice Book Trade")))</f>
        <v>Harrow &amp; Vale Wholesale</v>
      </c>
      <c r="H40" s="9">
        <f t="shared" si="1"/>
        <v>-10.45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26.25" customHeight="1">
      <c r="A41" s="6" t="str">
        <f>'Master Catalog Tracker'!A65</f>
        <v>BK1059</v>
      </c>
      <c r="B41" s="8" t="str">
        <f>'Master Catalog Tracker'!B65</f>
        <v>The Ember Meridian</v>
      </c>
      <c r="C41" s="8" t="str">
        <f>'Master Catalog Tracker'!C65</f>
        <v>Rowan Okafor</v>
      </c>
      <c r="D41" s="8" t="str">
        <f>'Master Catalog Tracker'!E65</f>
        <v>Academic &amp; Reference</v>
      </c>
      <c r="E41" s="9">
        <f>'Master Catalog Tracker'!L65</f>
        <v>13.73</v>
      </c>
      <c r="F41" s="9">
        <f>MIN('Master Catalog Tracker'!M65,'Master Catalog Tracker'!V65,'Master Catalog Tracker'!AE65,'Master Catalog Tracker'!AN65)</f>
        <v>16.6</v>
      </c>
      <c r="G41" s="6" t="str">
        <f>IF('Master Catalog Tracker'!M65=F41,"Northgate Book Distribution",IF('Master Catalog Tracker'!V65=F41,"Harrow &amp; Vale Wholesale",IF('Master Catalog Tracker'!AE65=F41,"Wrenfield Media Supply","Solstice Book Trade")))</f>
        <v>Solstice Book Trade</v>
      </c>
      <c r="H41" s="9">
        <f t="shared" si="1"/>
        <v>-2.87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26.25" customHeight="1">
      <c r="A42" s="6" t="str">
        <f>'Master Catalog Tracker'!A67</f>
        <v>BK1061</v>
      </c>
      <c r="B42" s="8" t="str">
        <f>'Master Catalog Tracker'!B67</f>
        <v>The Bright Orchard</v>
      </c>
      <c r="C42" s="8" t="str">
        <f>'Master Catalog Tracker'!C67</f>
        <v>Felix Delacroix</v>
      </c>
      <c r="D42" s="8" t="str">
        <f>'Master Catalog Tracker'!E67</f>
        <v>Mystery &amp; Thriller</v>
      </c>
      <c r="E42" s="9">
        <f>'Master Catalog Tracker'!L67</f>
        <v>34.68</v>
      </c>
      <c r="F42" s="9">
        <f>MIN('Master Catalog Tracker'!M67,'Master Catalog Tracker'!V67,'Master Catalog Tracker'!AE67,'Master Catalog Tracker'!AN67)</f>
        <v>35.66</v>
      </c>
      <c r="G42" s="6" t="str">
        <f>IF('Master Catalog Tracker'!M67=F42,"Northgate Book Distribution",IF('Master Catalog Tracker'!V67=F42,"Harrow &amp; Vale Wholesale",IF('Master Catalog Tracker'!AE67=F42,"Wrenfield Media Supply","Solstice Book Trade")))</f>
        <v>Wrenfield Media Supply</v>
      </c>
      <c r="H42" s="9">
        <f t="shared" si="1"/>
        <v>-0.98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26.25" customHeight="1">
      <c r="A43" s="6" t="str">
        <f>'Master Catalog Tracker'!A69</f>
        <v>BK1063</v>
      </c>
      <c r="B43" s="8" t="str">
        <f>'Master Catalog Tracker'!B69</f>
        <v>The Midnight Hourglass</v>
      </c>
      <c r="C43" s="8" t="str">
        <f>'Master Catalog Tracker'!C69</f>
        <v>Miriam Osei</v>
      </c>
      <c r="D43" s="8" t="str">
        <f>'Master Catalog Tracker'!E69</f>
        <v>Mystery &amp; Thriller</v>
      </c>
      <c r="E43" s="9">
        <f>'Master Catalog Tracker'!L69</f>
        <v>46.67</v>
      </c>
      <c r="F43" s="9">
        <f>MIN('Master Catalog Tracker'!M69,'Master Catalog Tracker'!V69,'Master Catalog Tracker'!AE69,'Master Catalog Tracker'!AN69)</f>
        <v>53.93</v>
      </c>
      <c r="G43" s="6" t="str">
        <f>IF('Master Catalog Tracker'!M69=F43,"Northgate Book Distribution",IF('Master Catalog Tracker'!V69=F43,"Harrow &amp; Vale Wholesale",IF('Master Catalog Tracker'!AE69=F43,"Wrenfield Media Supply","Solstice Book Trade")))</f>
        <v>Solstice Book Trade</v>
      </c>
      <c r="H43" s="9">
        <f t="shared" si="1"/>
        <v>-7.26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26.25" customHeight="1">
      <c r="A44" s="6" t="str">
        <f>'Master Catalog Tracker'!A73</f>
        <v>BK1067</v>
      </c>
      <c r="B44" s="8" t="str">
        <f>'Master Catalog Tracker'!B73</f>
        <v>The Bright Wren</v>
      </c>
      <c r="C44" s="8" t="str">
        <f>'Master Catalog Tracker'!C73</f>
        <v>Desmond Marchetti</v>
      </c>
      <c r="D44" s="8" t="str">
        <f>'Master Catalog Tracker'!E73</f>
        <v>Children's &amp; YA</v>
      </c>
      <c r="E44" s="9">
        <f>'Master Catalog Tracker'!L73</f>
        <v>29.74</v>
      </c>
      <c r="F44" s="9">
        <f>MIN('Master Catalog Tracker'!M73,'Master Catalog Tracker'!V73,'Master Catalog Tracker'!AE73,'Master Catalog Tracker'!AN73)</f>
        <v>29.04</v>
      </c>
      <c r="G44" s="6" t="str">
        <f>IF('Master Catalog Tracker'!M73=F44,"Northgate Book Distribution",IF('Master Catalog Tracker'!V73=F44,"Harrow &amp; Vale Wholesale",IF('Master Catalog Tracker'!AE73=F44,"Wrenfield Media Supply","Solstice Book Trade")))</f>
        <v>Harrow &amp; Vale Wholesale</v>
      </c>
      <c r="H44" s="9">
        <f t="shared" si="1"/>
        <v>0.7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26.25" customHeight="1">
      <c r="A45" s="6" t="str">
        <f>'Master Catalog Tracker'!A75</f>
        <v>BK1069</v>
      </c>
      <c r="B45" s="8" t="str">
        <f>'Master Catalog Tracker'!B75</f>
        <v>The Ember Hourglass</v>
      </c>
      <c r="C45" s="8" t="str">
        <f>'Master Catalog Tracker'!C75</f>
        <v>Miriam Okafor</v>
      </c>
      <c r="D45" s="8" t="str">
        <f>'Master Catalog Tracker'!E75</f>
        <v>Fiction</v>
      </c>
      <c r="E45" s="9">
        <f>'Master Catalog Tracker'!L75</f>
        <v>20.89</v>
      </c>
      <c r="F45" s="9">
        <f>MIN('Master Catalog Tracker'!M75,'Master Catalog Tracker'!V75,'Master Catalog Tracker'!AE75,'Master Catalog Tracker'!AN75)</f>
        <v>22.77</v>
      </c>
      <c r="G45" s="6" t="str">
        <f>IF('Master Catalog Tracker'!M75=F45,"Northgate Book Distribution",IF('Master Catalog Tracker'!V75=F45,"Harrow &amp; Vale Wholesale",IF('Master Catalog Tracker'!AE75=F45,"Wrenfield Media Supply","Solstice Book Trade")))</f>
        <v>Solstice Book Trade</v>
      </c>
      <c r="H45" s="9">
        <f t="shared" si="1"/>
        <v>-1.88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26.25" customHeight="1">
      <c r="A46" s="6" t="str">
        <f>'Master Catalog Tracker'!A77</f>
        <v>BK1071</v>
      </c>
      <c r="B46" s="8" t="str">
        <f>'Master Catalog Tracker'!B77</f>
        <v>The Winter's Shore</v>
      </c>
      <c r="C46" s="8" t="str">
        <f>'Master Catalog Tracker'!C77</f>
        <v>Elena Vasquez</v>
      </c>
      <c r="D46" s="8" t="str">
        <f>'Master Catalog Tracker'!E77</f>
        <v>Children's &amp; YA</v>
      </c>
      <c r="E46" s="9">
        <f>'Master Catalog Tracker'!L77</f>
        <v>73.84</v>
      </c>
      <c r="F46" s="9">
        <f>MIN('Master Catalog Tracker'!M77,'Master Catalog Tracker'!V77,'Master Catalog Tracker'!AE77,'Master Catalog Tracker'!AN77)</f>
        <v>72.74</v>
      </c>
      <c r="G46" s="6" t="str">
        <f>IF('Master Catalog Tracker'!M77=F46,"Northgate Book Distribution",IF('Master Catalog Tracker'!V77=F46,"Harrow &amp; Vale Wholesale",IF('Master Catalog Tracker'!AE77=F46,"Wrenfield Media Supply","Solstice Book Trade")))</f>
        <v>Solstice Book Trade</v>
      </c>
      <c r="H46" s="9">
        <f t="shared" si="1"/>
        <v>1.1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26.25" customHeight="1">
      <c r="A47" s="6" t="str">
        <f>'Master Catalog Tracker'!A78</f>
        <v>BK1072</v>
      </c>
      <c r="B47" s="8" t="str">
        <f>'Master Catalog Tracker'!B78</f>
        <v>The Crooked Lighthouse</v>
      </c>
      <c r="C47" s="8" t="str">
        <f>'Master Catalog Tracker'!C78</f>
        <v>Marcus Sundstrom</v>
      </c>
      <c r="D47" s="8" t="str">
        <f>'Master Catalog Tracker'!E78</f>
        <v>Book Care Supplies</v>
      </c>
      <c r="E47" s="9">
        <f>'Master Catalog Tracker'!L78</f>
        <v>15.04</v>
      </c>
      <c r="F47" s="9">
        <f>MIN('Master Catalog Tracker'!M78,'Master Catalog Tracker'!V78,'Master Catalog Tracker'!AE78,'Master Catalog Tracker'!AN78)</f>
        <v>15.48</v>
      </c>
      <c r="G47" s="6" t="str">
        <f>IF('Master Catalog Tracker'!M78=F47,"Northgate Book Distribution",IF('Master Catalog Tracker'!V78=F47,"Harrow &amp; Vale Wholesale",IF('Master Catalog Tracker'!AE78=F47,"Wrenfield Media Supply","Solstice Book Trade")))</f>
        <v>Northgate Book Distribution</v>
      </c>
      <c r="H47" s="9">
        <f t="shared" si="1"/>
        <v>-0.44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26.25" customHeight="1">
      <c r="A48" s="6" t="str">
        <f>'Master Catalog Tracker'!A79</f>
        <v>BK1073</v>
      </c>
      <c r="B48" s="8" t="str">
        <f>'Master Catalog Tracker'!B79</f>
        <v>The Winter's River</v>
      </c>
      <c r="C48" s="8" t="str">
        <f>'Master Catalog Tracker'!C79</f>
        <v>Miriam Sundstrom</v>
      </c>
      <c r="D48" s="8" t="str">
        <f>'Master Catalog Tracker'!E79</f>
        <v>Children's &amp; YA</v>
      </c>
      <c r="E48" s="9">
        <f>'Master Catalog Tracker'!L79</f>
        <v>20.6</v>
      </c>
      <c r="F48" s="9">
        <f>MIN('Master Catalog Tracker'!M79,'Master Catalog Tracker'!V79,'Master Catalog Tracker'!AE79,'Master Catalog Tracker'!AN79)</f>
        <v>19.41</v>
      </c>
      <c r="G48" s="6" t="str">
        <f>IF('Master Catalog Tracker'!M79=F48,"Northgate Book Distribution",IF('Master Catalog Tracker'!V79=F48,"Harrow &amp; Vale Wholesale",IF('Master Catalog Tracker'!AE79=F48,"Wrenfield Media Supply","Solstice Book Trade")))</f>
        <v>Harrow &amp; Vale Wholesale</v>
      </c>
      <c r="H48" s="9">
        <f t="shared" si="1"/>
        <v>1.19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26.25" customHeight="1">
      <c r="A49" s="6" t="str">
        <f>'Master Catalog Tracker'!A82</f>
        <v>BK1076</v>
      </c>
      <c r="B49" s="8" t="str">
        <f>'Master Catalog Tracker'!B82</f>
        <v>The Amber Wren</v>
      </c>
      <c r="C49" s="8" t="str">
        <f>'Master Catalog Tracker'!C82</f>
        <v>Naomi Amari</v>
      </c>
      <c r="D49" s="8" t="str">
        <f>'Master Catalog Tracker'!E82</f>
        <v>Mystery &amp; Thriller</v>
      </c>
      <c r="E49" s="9">
        <f>'Master Catalog Tracker'!L82</f>
        <v>14.51</v>
      </c>
      <c r="F49" s="9">
        <f>MIN('Master Catalog Tracker'!M82,'Master Catalog Tracker'!V82,'Master Catalog Tracker'!AE82,'Master Catalog Tracker'!AN82)</f>
        <v>14.88</v>
      </c>
      <c r="G49" s="6" t="str">
        <f>IF('Master Catalog Tracker'!M82=F49,"Northgate Book Distribution",IF('Master Catalog Tracker'!V82=F49,"Harrow &amp; Vale Wholesale",IF('Master Catalog Tracker'!AE82=F49,"Wrenfield Media Supply","Solstice Book Trade")))</f>
        <v>Solstice Book Trade</v>
      </c>
      <c r="H49" s="9">
        <f t="shared" si="1"/>
        <v>-0.37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26.25" customHeight="1">
      <c r="A50" s="6" t="str">
        <f>'Master Catalog Tracker'!A83</f>
        <v>BK1077</v>
      </c>
      <c r="B50" s="8" t="str">
        <f>'Master Catalog Tracker'!B83</f>
        <v>The Gilded Garden</v>
      </c>
      <c r="C50" s="8" t="str">
        <f>'Master Catalog Tracker'!C83</f>
        <v>Marcus Novak</v>
      </c>
      <c r="D50" s="8" t="str">
        <f>'Master Catalog Tracker'!E83</f>
        <v>Fiction</v>
      </c>
      <c r="E50" s="9">
        <f>'Master Catalog Tracker'!L83</f>
        <v>18.05</v>
      </c>
      <c r="F50" s="9">
        <f>MIN('Master Catalog Tracker'!M83,'Master Catalog Tracker'!V83,'Master Catalog Tracker'!AE83,'Master Catalog Tracker'!AN83)</f>
        <v>18.9</v>
      </c>
      <c r="G50" s="6" t="str">
        <f>IF('Master Catalog Tracker'!M83=F50,"Northgate Book Distribution",IF('Master Catalog Tracker'!V83=F50,"Harrow &amp; Vale Wholesale",IF('Master Catalog Tracker'!AE83=F50,"Wrenfield Media Supply","Solstice Book Trade")))</f>
        <v>Northgate Book Distribution</v>
      </c>
      <c r="H50" s="9">
        <f t="shared" si="1"/>
        <v>-0.85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26.25" customHeight="1">
      <c r="A51" s="6" t="str">
        <f>'Master Catalog Tracker'!A84</f>
        <v>BK1078</v>
      </c>
      <c r="B51" s="8" t="str">
        <f>'Master Catalog Tracker'!B84</f>
        <v>The Crooked Coastline</v>
      </c>
      <c r="C51" s="8" t="str">
        <f>'Master Catalog Tracker'!C84</f>
        <v>Yara Delacroix</v>
      </c>
      <c r="D51" s="8" t="str">
        <f>'Master Catalog Tracker'!E84</f>
        <v>Academic &amp; Reference</v>
      </c>
      <c r="E51" s="9">
        <f>'Master Catalog Tracker'!L84</f>
        <v>72.15</v>
      </c>
      <c r="F51" s="9">
        <f>MIN('Master Catalog Tracker'!M84,'Master Catalog Tracker'!V84,'Master Catalog Tracker'!AE84,'Master Catalog Tracker'!AN84)</f>
        <v>85.07</v>
      </c>
      <c r="G51" s="6" t="str">
        <f>IF('Master Catalog Tracker'!M84=F51,"Northgate Book Distribution",IF('Master Catalog Tracker'!V84=F51,"Harrow &amp; Vale Wholesale",IF('Master Catalog Tracker'!AE84=F51,"Wrenfield Media Supply","Solstice Book Trade")))</f>
        <v>Wrenfield Media Supply</v>
      </c>
      <c r="H51" s="9">
        <f t="shared" si="1"/>
        <v>-12.92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26.25" customHeight="1">
      <c r="A52" s="6" t="str">
        <f>'Master Catalog Tracker'!A85</f>
        <v>BK1079</v>
      </c>
      <c r="B52" s="8" t="str">
        <f>'Master Catalog Tracker'!B85</f>
        <v>The Quiet Lighthouse</v>
      </c>
      <c r="C52" s="8" t="str">
        <f>'Master Catalog Tracker'!C85</f>
        <v>Desmond Sundstrom</v>
      </c>
      <c r="D52" s="8" t="str">
        <f>'Master Catalog Tracker'!E85</f>
        <v>Academic &amp; Reference</v>
      </c>
      <c r="E52" s="9">
        <f>'Master Catalog Tracker'!L85</f>
        <v>60.29</v>
      </c>
      <c r="F52" s="9">
        <f>MIN('Master Catalog Tracker'!M85,'Master Catalog Tracker'!V85,'Master Catalog Tracker'!AE85,'Master Catalog Tracker'!AN85)</f>
        <v>64.01</v>
      </c>
      <c r="G52" s="6" t="str">
        <f>IF('Master Catalog Tracker'!M85=F52,"Northgate Book Distribution",IF('Master Catalog Tracker'!V85=F52,"Harrow &amp; Vale Wholesale",IF('Master Catalog Tracker'!AE85=F52,"Wrenfield Media Supply","Solstice Book Trade")))</f>
        <v>Northgate Book Distribution</v>
      </c>
      <c r="H52" s="9">
        <f t="shared" si="1"/>
        <v>-3.72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26.25" customHeight="1">
      <c r="A53" s="6" t="str">
        <f>'Master Catalog Tracker'!A86</f>
        <v>BK1080</v>
      </c>
      <c r="B53" s="8" t="str">
        <f>'Master Catalog Tracker'!B86</f>
        <v>The Forgotten Attic</v>
      </c>
      <c r="C53" s="8" t="str">
        <f>'Master Catalog Tracker'!C86</f>
        <v>Ines Vasquez</v>
      </c>
      <c r="D53" s="8" t="str">
        <f>'Master Catalog Tracker'!E86</f>
        <v>Book Care Supplies</v>
      </c>
      <c r="E53" s="9">
        <f>'Master Catalog Tracker'!L86</f>
        <v>50.76</v>
      </c>
      <c r="F53" s="9">
        <f>MIN('Master Catalog Tracker'!M86,'Master Catalog Tracker'!V86,'Master Catalog Tracker'!AE86,'Master Catalog Tracker'!AN86)</f>
        <v>47.54</v>
      </c>
      <c r="G53" s="6" t="str">
        <f>IF('Master Catalog Tracker'!M86=F53,"Northgate Book Distribution",IF('Master Catalog Tracker'!V86=F53,"Harrow &amp; Vale Wholesale",IF('Master Catalog Tracker'!AE86=F53,"Wrenfield Media Supply","Solstice Book Trade")))</f>
        <v>Harrow &amp; Vale Wholesale</v>
      </c>
      <c r="H53" s="9">
        <f t="shared" si="1"/>
        <v>3.22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26.25" customHeight="1">
      <c r="A54" s="6" t="str">
        <f>'Master Catalog Tracker'!A87</f>
        <v>BK1081</v>
      </c>
      <c r="B54" s="8" t="str">
        <f>'Master Catalog Tracker'!B87</f>
        <v>The Forgotten Threshold</v>
      </c>
      <c r="C54" s="8" t="str">
        <f>'Master Catalog Tracker'!C87</f>
        <v>Rowan Fennimore</v>
      </c>
      <c r="D54" s="8" t="str">
        <f>'Master Catalog Tracker'!E87</f>
        <v>Mystery &amp; Thriller</v>
      </c>
      <c r="E54" s="9">
        <f>'Master Catalog Tracker'!L87</f>
        <v>73.81</v>
      </c>
      <c r="F54" s="9">
        <f>MIN('Master Catalog Tracker'!M87,'Master Catalog Tracker'!V87,'Master Catalog Tracker'!AE87,'Master Catalog Tracker'!AN87)</f>
        <v>83.47</v>
      </c>
      <c r="G54" s="6" t="str">
        <f>IF('Master Catalog Tracker'!M87=F54,"Northgate Book Distribution",IF('Master Catalog Tracker'!V87=F54,"Harrow &amp; Vale Wholesale",IF('Master Catalog Tracker'!AE87=F54,"Wrenfield Media Supply","Solstice Book Trade")))</f>
        <v>Solstice Book Trade</v>
      </c>
      <c r="H54" s="9">
        <f t="shared" si="1"/>
        <v>-9.66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26.25" customHeight="1">
      <c r="A55" s="6" t="str">
        <f>'Master Catalog Tracker'!A90</f>
        <v>BK1084</v>
      </c>
      <c r="B55" s="8" t="str">
        <f>'Master Catalog Tracker'!B90</f>
        <v>The Salt Harbor</v>
      </c>
      <c r="C55" s="8" t="str">
        <f>'Master Catalog Tracker'!C90</f>
        <v>Aldous Marchetti</v>
      </c>
      <c r="D55" s="8" t="str">
        <f>'Master Catalog Tracker'!E90</f>
        <v>Mystery &amp; Thriller</v>
      </c>
      <c r="E55" s="9">
        <f>'Master Catalog Tracker'!L90</f>
        <v>14</v>
      </c>
      <c r="F55" s="9">
        <f>MIN('Master Catalog Tracker'!M90,'Master Catalog Tracker'!V90,'Master Catalog Tracker'!AE90,'Master Catalog Tracker'!AN90)</f>
        <v>14.77</v>
      </c>
      <c r="G55" s="6" t="str">
        <f>IF('Master Catalog Tracker'!M90=F55,"Northgate Book Distribution",IF('Master Catalog Tracker'!V90=F55,"Harrow &amp; Vale Wholesale",IF('Master Catalog Tracker'!AE90=F55,"Wrenfield Media Supply","Solstice Book Trade")))</f>
        <v>Solstice Book Trade</v>
      </c>
      <c r="H55" s="9">
        <f t="shared" si="1"/>
        <v>-0.77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26.25" customHeight="1">
      <c r="A56" s="6" t="str">
        <f>'Master Catalog Tracker'!A91</f>
        <v>BK1085</v>
      </c>
      <c r="B56" s="8" t="str">
        <f>'Master Catalog Tracker'!B91</f>
        <v>The Fractured Archive</v>
      </c>
      <c r="C56" s="8" t="str">
        <f>'Master Catalog Tracker'!C91</f>
        <v>Priya Reyes</v>
      </c>
      <c r="D56" s="8" t="str">
        <f>'Master Catalog Tracker'!E91</f>
        <v>Children's &amp; YA</v>
      </c>
      <c r="E56" s="9">
        <f>'Master Catalog Tracker'!L91</f>
        <v>70.52</v>
      </c>
      <c r="F56" s="9">
        <f>MIN('Master Catalog Tracker'!M91,'Master Catalog Tracker'!V91,'Master Catalog Tracker'!AE91,'Master Catalog Tracker'!AN91)</f>
        <v>75.04</v>
      </c>
      <c r="G56" s="6" t="str">
        <f>IF('Master Catalog Tracker'!M91=F56,"Northgate Book Distribution",IF('Master Catalog Tracker'!V91=F56,"Harrow &amp; Vale Wholesale",IF('Master Catalog Tracker'!AE91=F56,"Wrenfield Media Supply","Solstice Book Trade")))</f>
        <v>Northgate Book Distribution</v>
      </c>
      <c r="H56" s="9">
        <f t="shared" si="1"/>
        <v>-4.52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26.25" customHeight="1">
      <c r="A57" s="6" t="str">
        <f>'Master Catalog Tracker'!A93</f>
        <v>BK1087</v>
      </c>
      <c r="B57" s="8" t="str">
        <f>'Master Catalog Tracker'!B93</f>
        <v>The Broken Attic</v>
      </c>
      <c r="C57" s="8" t="str">
        <f>'Master Catalog Tracker'!C93</f>
        <v>Tobias Novak</v>
      </c>
      <c r="D57" s="8" t="str">
        <f>'Master Catalog Tracker'!E93</f>
        <v>Children's &amp; YA</v>
      </c>
      <c r="E57" s="9">
        <f>'Master Catalog Tracker'!L93</f>
        <v>38.53</v>
      </c>
      <c r="F57" s="9">
        <f>MIN('Master Catalog Tracker'!M93,'Master Catalog Tracker'!V93,'Master Catalog Tracker'!AE93,'Master Catalog Tracker'!AN93)</f>
        <v>40.46</v>
      </c>
      <c r="G57" s="6" t="str">
        <f>IF('Master Catalog Tracker'!M93=F57,"Northgate Book Distribution",IF('Master Catalog Tracker'!V93=F57,"Harrow &amp; Vale Wholesale",IF('Master Catalog Tracker'!AE93=F57,"Wrenfield Media Supply","Solstice Book Trade")))</f>
        <v>Solstice Book Trade</v>
      </c>
      <c r="H57" s="9">
        <f t="shared" si="1"/>
        <v>-1.93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26.25" customHeight="1">
      <c r="A58" s="6" t="str">
        <f>'Master Catalog Tracker'!A97</f>
        <v>BK1091</v>
      </c>
      <c r="B58" s="8" t="str">
        <f>'Master Catalog Tracker'!B97</f>
        <v>The Distant Clockwork</v>
      </c>
      <c r="C58" s="8" t="str">
        <f>'Master Catalog Tracker'!C97</f>
        <v>Tobias Osei</v>
      </c>
      <c r="D58" s="8" t="str">
        <f>'Master Catalog Tracker'!E97</f>
        <v>Collector's Editions</v>
      </c>
      <c r="E58" s="9">
        <f>'Master Catalog Tracker'!L97</f>
        <v>47.89</v>
      </c>
      <c r="F58" s="9">
        <f>MIN('Master Catalog Tracker'!M97,'Master Catalog Tracker'!V97,'Master Catalog Tracker'!AE97,'Master Catalog Tracker'!AN97)</f>
        <v>54.6</v>
      </c>
      <c r="G58" s="6" t="str">
        <f>IF('Master Catalog Tracker'!M97=F58,"Northgate Book Distribution",IF('Master Catalog Tracker'!V97=F58,"Harrow &amp; Vale Wholesale",IF('Master Catalog Tracker'!AE97=F58,"Wrenfield Media Supply","Solstice Book Trade")))</f>
        <v>Wrenfield Media Supply</v>
      </c>
      <c r="H58" s="9">
        <f t="shared" si="1"/>
        <v>-6.71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26.25" customHeight="1">
      <c r="A59" s="6" t="str">
        <f>'Master Catalog Tracker'!A99</f>
        <v>BK1093</v>
      </c>
      <c r="B59" s="8" t="str">
        <f>'Master Catalog Tracker'!B99</f>
        <v>The Wandering Vineyard</v>
      </c>
      <c r="C59" s="8" t="str">
        <f>'Master Catalog Tracker'!C99</f>
        <v>Odette Kessler</v>
      </c>
      <c r="D59" s="8" t="str">
        <f>'Master Catalog Tracker'!E99</f>
        <v>Academic &amp; Reference</v>
      </c>
      <c r="E59" s="9">
        <f>'Master Catalog Tracker'!L99</f>
        <v>37.77</v>
      </c>
      <c r="F59" s="9">
        <f>MIN('Master Catalog Tracker'!M99,'Master Catalog Tracker'!V99,'Master Catalog Tracker'!AE99,'Master Catalog Tracker'!AN99)</f>
        <v>41.36</v>
      </c>
      <c r="G59" s="6" t="str">
        <f>IF('Master Catalog Tracker'!M99=F59,"Northgate Book Distribution",IF('Master Catalog Tracker'!V99=F59,"Harrow &amp; Vale Wholesale",IF('Master Catalog Tracker'!AE99=F59,"Wrenfield Media Supply","Solstice Book Trade")))</f>
        <v>Solstice Book Trade</v>
      </c>
      <c r="H59" s="9">
        <f t="shared" si="1"/>
        <v>-3.59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26.25" customHeight="1">
      <c r="A60" s="6" t="str">
        <f>'Master Catalog Tracker'!A101</f>
        <v>BK1095</v>
      </c>
      <c r="B60" s="8" t="str">
        <f>'Master Catalog Tracker'!B101</f>
        <v>The Gilded Meridian</v>
      </c>
      <c r="C60" s="8" t="str">
        <f>'Master Catalog Tracker'!C101</f>
        <v>Priya Osei</v>
      </c>
      <c r="D60" s="8" t="str">
        <f>'Master Catalog Tracker'!E101</f>
        <v>Fiction</v>
      </c>
      <c r="E60" s="9">
        <f>'Master Catalog Tracker'!L101</f>
        <v>22.43</v>
      </c>
      <c r="F60" s="9">
        <f>MIN('Master Catalog Tracker'!M101,'Master Catalog Tracker'!V101,'Master Catalog Tracker'!AE101,'Master Catalog Tracker'!AN101)</f>
        <v>25.56</v>
      </c>
      <c r="G60" s="6" t="str">
        <f>IF('Master Catalog Tracker'!M101=F60,"Northgate Book Distribution",IF('Master Catalog Tracker'!V101=F60,"Harrow &amp; Vale Wholesale",IF('Master Catalog Tracker'!AE101=F60,"Wrenfield Media Supply","Solstice Book Trade")))</f>
        <v>Northgate Book Distribution</v>
      </c>
      <c r="H60" s="9">
        <f t="shared" si="1"/>
        <v>-3.13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26.25" customHeight="1">
      <c r="A61" s="6" t="str">
        <f>'Master Catalog Tracker'!A102</f>
        <v>BK1096</v>
      </c>
      <c r="B61" s="8" t="str">
        <f>'Master Catalog Tracker'!B102</f>
        <v>The Endless Letters</v>
      </c>
      <c r="C61" s="8" t="str">
        <f>'Master Catalog Tracker'!C102</f>
        <v>Aldous Osei</v>
      </c>
      <c r="D61" s="8" t="str">
        <f>'Master Catalog Tracker'!E102</f>
        <v>Fiction</v>
      </c>
      <c r="E61" s="9">
        <f>'Master Catalog Tracker'!L102</f>
        <v>21.72</v>
      </c>
      <c r="F61" s="9">
        <f>MIN('Master Catalog Tracker'!M102,'Master Catalog Tracker'!V102,'Master Catalog Tracker'!AE102,'Master Catalog Tracker'!AN102)</f>
        <v>21.29</v>
      </c>
      <c r="G61" s="6" t="str">
        <f>IF('Master Catalog Tracker'!M102=F61,"Northgate Book Distribution",IF('Master Catalog Tracker'!V102=F61,"Harrow &amp; Vale Wholesale",IF('Master Catalog Tracker'!AE102=F61,"Wrenfield Media Supply","Solstice Book Trade")))</f>
        <v>Wrenfield Media Supply</v>
      </c>
      <c r="H61" s="9">
        <f t="shared" si="1"/>
        <v>0.43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26.25" customHeight="1">
      <c r="A62" s="6" t="str">
        <f>'Master Catalog Tracker'!A103</f>
        <v>BK1097</v>
      </c>
      <c r="B62" s="8" t="str">
        <f>'Master Catalog Tracker'!B103</f>
        <v>The Midnight Compass</v>
      </c>
      <c r="C62" s="8" t="str">
        <f>'Master Catalog Tracker'!C103</f>
        <v>Naomi Novak</v>
      </c>
      <c r="D62" s="8" t="str">
        <f>'Master Catalog Tracker'!E103</f>
        <v>Poetry &amp; Classics</v>
      </c>
      <c r="E62" s="9">
        <f>'Master Catalog Tracker'!L103</f>
        <v>17.97</v>
      </c>
      <c r="F62" s="9">
        <f>MIN('Master Catalog Tracker'!M103,'Master Catalog Tracker'!V103,'Master Catalog Tracker'!AE103,'Master Catalog Tracker'!AN103)</f>
        <v>17.59</v>
      </c>
      <c r="G62" s="6" t="str">
        <f>IF('Master Catalog Tracker'!M103=F62,"Northgate Book Distribution",IF('Master Catalog Tracker'!V103=F62,"Harrow &amp; Vale Wholesale",IF('Master Catalog Tracker'!AE103=F62,"Wrenfield Media Supply","Solstice Book Trade")))</f>
        <v>Wrenfield Media Supply</v>
      </c>
      <c r="H62" s="9">
        <f t="shared" si="1"/>
        <v>0.38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26.25" customHeight="1">
      <c r="A63" s="6" t="str">
        <f>'Master Catalog Tracker'!A105</f>
        <v>BK1099</v>
      </c>
      <c r="B63" s="8" t="str">
        <f>'Master Catalog Tracker'!B105</f>
        <v>The Forgotten Chronicle</v>
      </c>
      <c r="C63" s="8" t="str">
        <f>'Master Catalog Tracker'!C105</f>
        <v>Priya Holloway</v>
      </c>
      <c r="D63" s="8" t="str">
        <f>'Master Catalog Tracker'!E105</f>
        <v>Collector's Editions</v>
      </c>
      <c r="E63" s="9">
        <f>'Master Catalog Tracker'!L105</f>
        <v>57.96</v>
      </c>
      <c r="F63" s="9">
        <f>MIN('Master Catalog Tracker'!M105,'Master Catalog Tracker'!V105,'Master Catalog Tracker'!AE105,'Master Catalog Tracker'!AN105)</f>
        <v>57.63</v>
      </c>
      <c r="G63" s="6" t="str">
        <f>IF('Master Catalog Tracker'!M105=F63,"Northgate Book Distribution",IF('Master Catalog Tracker'!V105=F63,"Harrow &amp; Vale Wholesale",IF('Master Catalog Tracker'!AE105=F63,"Wrenfield Media Supply","Solstice Book Trade")))</f>
        <v>Wrenfield Media Supply</v>
      </c>
      <c r="H63" s="9">
        <f t="shared" si="1"/>
        <v>0.33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4" width="13.0"/>
    <col customWidth="1" min="5" max="5" width="28.0"/>
    <col customWidth="1" min="6" max="7" width="13.0"/>
    <col customWidth="1" min="8" max="8" width="14.0"/>
    <col customWidth="1" min="9" max="9" width="13.0"/>
    <col customWidth="1" min="10" max="10" width="15.57"/>
    <col customWidth="1" min="11" max="16" width="13.0"/>
    <col customWidth="1" min="17" max="26" width="8.71"/>
  </cols>
  <sheetData>
    <row r="1">
      <c r="A1" s="1" t="s">
        <v>88</v>
      </c>
    </row>
    <row r="2">
      <c r="A2" s="4" t="s">
        <v>91</v>
      </c>
    </row>
    <row r="4" ht="15.0" customHeight="1">
      <c r="A4" s="18" t="s">
        <v>93</v>
      </c>
      <c r="B4" s="19"/>
      <c r="C4" s="20"/>
      <c r="D4" s="18" t="s">
        <v>97</v>
      </c>
      <c r="E4" s="19"/>
      <c r="F4" s="20"/>
      <c r="G4" s="18" t="s">
        <v>98</v>
      </c>
      <c r="H4" s="19"/>
      <c r="I4" s="20"/>
      <c r="J4" s="18" t="s">
        <v>99</v>
      </c>
      <c r="K4" s="19"/>
      <c r="L4" s="20"/>
      <c r="N4" s="21" t="s">
        <v>101</v>
      </c>
      <c r="O4" s="12"/>
      <c r="P4" s="13"/>
    </row>
    <row r="5" ht="28.5" customHeight="1">
      <c r="A5" s="22">
        <f>COUNTA('Master Catalog Tracker'!A6:A105)</f>
        <v>100</v>
      </c>
      <c r="B5" s="23"/>
      <c r="C5" s="24"/>
      <c r="D5" s="22">
        <f>COUNTIF('Master Catalog Tracker'!AT6:AT105,"Catalog Entry Complete")</f>
        <v>59</v>
      </c>
      <c r="E5" s="23"/>
      <c r="F5" s="24"/>
      <c r="G5" s="22">
        <f>COUNTIF('Master Catalog Tracker'!AT6:AT105,"Pending Re-Approval")</f>
        <v>16</v>
      </c>
      <c r="H5" s="23"/>
      <c r="I5" s="24"/>
      <c r="J5" s="22">
        <f>COUNTIF('Master Catalog Tracker'!AT6:AT105,"Deleted (Outdated)")</f>
        <v>25</v>
      </c>
      <c r="K5" s="23"/>
      <c r="L5" s="24"/>
      <c r="N5" s="25" t="s">
        <v>114</v>
      </c>
      <c r="O5" s="12"/>
      <c r="P5" s="13"/>
    </row>
    <row r="6" ht="27.75" customHeight="1">
      <c r="A6" s="26"/>
      <c r="C6" s="27"/>
      <c r="D6" s="26"/>
      <c r="F6" s="27"/>
      <c r="G6" s="26"/>
      <c r="I6" s="27"/>
      <c r="J6" s="26"/>
      <c r="L6" s="27"/>
      <c r="N6" s="28" t="s">
        <v>117</v>
      </c>
    </row>
    <row r="7">
      <c r="A7" s="29"/>
      <c r="B7" s="30"/>
      <c r="C7" s="31"/>
      <c r="D7" s="29"/>
      <c r="E7" s="30"/>
      <c r="F7" s="31"/>
      <c r="G7" s="29"/>
      <c r="H7" s="30"/>
      <c r="I7" s="31"/>
      <c r="J7" s="29"/>
      <c r="K7" s="30"/>
      <c r="L7" s="31"/>
    </row>
    <row r="8" ht="30.75" customHeight="1">
      <c r="N8" s="25" t="s">
        <v>119</v>
      </c>
      <c r="O8" s="12"/>
      <c r="P8" s="13"/>
    </row>
    <row r="9" ht="27.75" customHeight="1">
      <c r="N9" s="28" t="s">
        <v>122</v>
      </c>
    </row>
    <row r="10" ht="16.5" customHeight="1">
      <c r="A10" s="21" t="s">
        <v>125</v>
      </c>
      <c r="B10" s="12"/>
      <c r="C10" s="13"/>
      <c r="E10" s="21" t="s">
        <v>128</v>
      </c>
      <c r="F10" s="13"/>
      <c r="H10" s="21" t="s">
        <v>130</v>
      </c>
      <c r="I10" s="12"/>
      <c r="J10" s="13"/>
    </row>
    <row r="11" ht="29.25" customHeight="1">
      <c r="A11" s="32" t="s">
        <v>6</v>
      </c>
      <c r="B11" s="32" t="s">
        <v>133</v>
      </c>
      <c r="E11" s="32" t="s">
        <v>29</v>
      </c>
      <c r="F11" s="32" t="s">
        <v>133</v>
      </c>
      <c r="H11" s="32" t="s">
        <v>134</v>
      </c>
      <c r="I11" s="32" t="s">
        <v>136</v>
      </c>
      <c r="J11" s="32" t="s">
        <v>138</v>
      </c>
      <c r="N11" s="25" t="s">
        <v>140</v>
      </c>
      <c r="O11" s="12"/>
      <c r="P11" s="13"/>
    </row>
    <row r="12" ht="27.75" customHeight="1">
      <c r="A12" s="33" t="s">
        <v>141</v>
      </c>
      <c r="B12" s="33">
        <f>COUNTIF('Master Catalog Tracker'!E6:E105,A12)</f>
        <v>25</v>
      </c>
      <c r="E12" s="34" t="s">
        <v>57</v>
      </c>
      <c r="F12" s="34">
        <f>COUNTIF('Master Catalog Tracker'!AT6:AT105,E12)</f>
        <v>59</v>
      </c>
      <c r="H12" s="34" t="s">
        <v>106</v>
      </c>
      <c r="I12" s="34">
        <f>COUNTIF('Master Catalog Tracker'!I6:I105,H12)</f>
        <v>52</v>
      </c>
      <c r="J12" s="34">
        <f>COUNTIFS('Master Catalog Tracker'!AU6:AU105,H12,'Master Catalog Tracker'!AT6:AT105,"Catalog Entry Complete")</f>
        <v>30</v>
      </c>
      <c r="N12" s="28" t="s">
        <v>146</v>
      </c>
    </row>
    <row r="13">
      <c r="A13" s="33" t="s">
        <v>81</v>
      </c>
      <c r="B13" s="33">
        <f>COUNTIF('Master Catalog Tracker'!E6:E105,A13)</f>
        <v>16</v>
      </c>
      <c r="E13" s="34" t="s">
        <v>120</v>
      </c>
      <c r="F13" s="34">
        <f>COUNTIF('Master Catalog Tracker'!AT6:AT105,E13)</f>
        <v>16</v>
      </c>
      <c r="H13" s="34" t="s">
        <v>41</v>
      </c>
      <c r="I13" s="34">
        <f>COUNTIF('Master Catalog Tracker'!I6:I105,H13)</f>
        <v>48</v>
      </c>
      <c r="J13" s="34">
        <f>COUNTIFS('Master Catalog Tracker'!AU6:AU105,H13,'Master Catalog Tracker'!AT6:AT105,"Catalog Entry Complete")</f>
        <v>29</v>
      </c>
    </row>
    <row r="14" ht="30.0" customHeight="1">
      <c r="A14" s="33" t="s">
        <v>154</v>
      </c>
      <c r="B14" s="33">
        <f>COUNTIF('Master Catalog Tracker'!E6:E105,A14)</f>
        <v>12</v>
      </c>
      <c r="E14" s="34" t="s">
        <v>155</v>
      </c>
      <c r="F14" s="34">
        <f>COUNTIF('Master Catalog Tracker'!AT6:AT105,E14)</f>
        <v>25</v>
      </c>
      <c r="N14" s="25" t="s">
        <v>158</v>
      </c>
      <c r="O14" s="12"/>
      <c r="P14" s="13"/>
    </row>
    <row r="15" ht="27.75" customHeight="1">
      <c r="A15" s="33" t="s">
        <v>37</v>
      </c>
      <c r="B15" s="33">
        <f>COUNTIF('Master Catalog Tracker'!E6:E105,A15)</f>
        <v>10</v>
      </c>
      <c r="N15" s="28" t="s">
        <v>160</v>
      </c>
    </row>
    <row r="16">
      <c r="A16" s="33" t="s">
        <v>162</v>
      </c>
      <c r="B16" s="33">
        <f>COUNTIF('Master Catalog Tracker'!E6:E105,A16)</f>
        <v>10</v>
      </c>
    </row>
    <row r="17" ht="15.0" customHeight="1">
      <c r="A17" s="33" t="s">
        <v>126</v>
      </c>
      <c r="B17" s="33">
        <f>COUNTIF('Master Catalog Tracker'!E6:E105,A17)</f>
        <v>10</v>
      </c>
      <c r="N17" s="35" t="s">
        <v>164</v>
      </c>
    </row>
    <row r="18">
      <c r="A18" s="33" t="s">
        <v>62</v>
      </c>
      <c r="B18" s="33">
        <f>COUNTIF('Master Catalog Tracker'!E6:E105,A18)</f>
        <v>8</v>
      </c>
    </row>
    <row r="19">
      <c r="A19" s="33" t="s">
        <v>166</v>
      </c>
      <c r="B19" s="33">
        <f>COUNTIF('Master Catalog Tracker'!E6:E105,A19)</f>
        <v>4</v>
      </c>
    </row>
    <row r="20">
      <c r="A20" s="33" t="s">
        <v>167</v>
      </c>
      <c r="B20" s="33">
        <f>COUNTIF('Master Catalog Tracker'!E6:E105,A20)</f>
        <v>2</v>
      </c>
    </row>
    <row r="21" ht="15.75" customHeight="1">
      <c r="A21" s="33" t="s">
        <v>171</v>
      </c>
      <c r="B21" s="33">
        <f>COUNTIF('Master Catalog Tracker'!E6:E105,A21)</f>
        <v>1</v>
      </c>
    </row>
    <row r="22" ht="15.75" customHeight="1">
      <c r="A22" s="33" t="s">
        <v>174</v>
      </c>
      <c r="B22" s="33">
        <f>COUNTIF('Master Catalog Tracker'!E6:E105,A22)</f>
        <v>1</v>
      </c>
    </row>
    <row r="23" ht="15.75" customHeight="1">
      <c r="A23" s="33" t="s">
        <v>177</v>
      </c>
      <c r="B23" s="33">
        <f>COUNTIF('Master Catalog Tracker'!E6:E105,A23)</f>
        <v>1</v>
      </c>
    </row>
    <row r="24" ht="15.75" customHeight="1"/>
    <row r="25" ht="15.75" customHeight="1"/>
    <row r="26" ht="15.75" customHeight="1">
      <c r="A26" s="21" t="s">
        <v>178</v>
      </c>
      <c r="B26" s="12"/>
      <c r="C26" s="13"/>
    </row>
    <row r="27" ht="15.75" customHeight="1">
      <c r="A27" s="32" t="s">
        <v>182</v>
      </c>
      <c r="B27" s="32" t="s">
        <v>134</v>
      </c>
      <c r="C27" s="32" t="s">
        <v>183</v>
      </c>
    </row>
    <row r="28" ht="15.75" customHeight="1">
      <c r="A28" s="36">
        <v>45992.0</v>
      </c>
      <c r="B28" s="37" t="s">
        <v>41</v>
      </c>
      <c r="C28" s="34">
        <f>COUNTIFS('Master Catalog Tracker'!H6:H105,A28,'Master Catalog Tracker'!I6:I105,B28)</f>
        <v>0</v>
      </c>
    </row>
    <row r="29" ht="15.75" customHeight="1">
      <c r="A29" s="36">
        <v>45992.0</v>
      </c>
      <c r="B29" s="37" t="s">
        <v>106</v>
      </c>
      <c r="C29" s="34">
        <f>COUNTIFS('Master Catalog Tracker'!H6:H105,A29,'Master Catalog Tracker'!I6:I105,B29)</f>
        <v>1</v>
      </c>
    </row>
    <row r="30" ht="15.75" customHeight="1">
      <c r="A30" s="36">
        <v>45993.0</v>
      </c>
      <c r="B30" s="37" t="s">
        <v>41</v>
      </c>
      <c r="C30" s="34">
        <f>COUNTIFS('Master Catalog Tracker'!H6:H105,A30,'Master Catalog Tracker'!I6:I105,B30)</f>
        <v>2</v>
      </c>
    </row>
    <row r="31" ht="15.75" customHeight="1">
      <c r="A31" s="36">
        <v>45993.0</v>
      </c>
      <c r="B31" s="37" t="s">
        <v>106</v>
      </c>
      <c r="C31" s="34">
        <f>COUNTIFS('Master Catalog Tracker'!H6:H105,A31,'Master Catalog Tracker'!I6:I105,B31)</f>
        <v>2</v>
      </c>
    </row>
    <row r="32" ht="15.75" customHeight="1">
      <c r="A32" s="36">
        <v>45994.0</v>
      </c>
      <c r="B32" s="37" t="s">
        <v>41</v>
      </c>
      <c r="C32" s="34">
        <f>COUNTIFS('Master Catalog Tracker'!H6:H105,A32,'Master Catalog Tracker'!I6:I105,B32)</f>
        <v>2</v>
      </c>
    </row>
    <row r="33" ht="15.75" customHeight="1">
      <c r="A33" s="36">
        <v>45994.0</v>
      </c>
      <c r="B33" s="37" t="s">
        <v>106</v>
      </c>
      <c r="C33" s="34">
        <f>COUNTIFS('Master Catalog Tracker'!H6:H105,A33,'Master Catalog Tracker'!I6:I105,B33)</f>
        <v>2</v>
      </c>
    </row>
    <row r="34" ht="15.75" customHeight="1">
      <c r="A34" s="36">
        <v>45995.0</v>
      </c>
      <c r="B34" s="37" t="s">
        <v>41</v>
      </c>
      <c r="C34" s="34">
        <f>COUNTIFS('Master Catalog Tracker'!H6:H105,A34,'Master Catalog Tracker'!I6:I105,B34)</f>
        <v>3</v>
      </c>
    </row>
    <row r="35" ht="15.75" customHeight="1">
      <c r="A35" s="36">
        <v>45995.0</v>
      </c>
      <c r="B35" s="37" t="s">
        <v>106</v>
      </c>
      <c r="C35" s="34">
        <f>COUNTIFS('Master Catalog Tracker'!H6:H105,A35,'Master Catalog Tracker'!I6:I105,B35)</f>
        <v>0</v>
      </c>
    </row>
    <row r="36" ht="15.75" customHeight="1">
      <c r="A36" s="36">
        <v>45996.0</v>
      </c>
      <c r="B36" s="37" t="s">
        <v>41</v>
      </c>
      <c r="C36" s="34">
        <f>COUNTIFS('Master Catalog Tracker'!H6:H105,A36,'Master Catalog Tracker'!I6:I105,B36)</f>
        <v>3</v>
      </c>
    </row>
    <row r="37" ht="15.75" customHeight="1">
      <c r="A37" s="36">
        <v>45996.0</v>
      </c>
      <c r="B37" s="37" t="s">
        <v>106</v>
      </c>
      <c r="C37" s="34">
        <f>COUNTIFS('Master Catalog Tracker'!H6:H105,A37,'Master Catalog Tracker'!I6:I105,B37)</f>
        <v>2</v>
      </c>
    </row>
    <row r="38" ht="15.75" customHeight="1">
      <c r="A38" s="36">
        <v>45997.0</v>
      </c>
      <c r="B38" s="37" t="s">
        <v>41</v>
      </c>
      <c r="C38" s="34">
        <f>COUNTIFS('Master Catalog Tracker'!H6:H105,A38,'Master Catalog Tracker'!I6:I105,B38)</f>
        <v>4</v>
      </c>
    </row>
    <row r="39" ht="15.75" customHeight="1">
      <c r="A39" s="36">
        <v>45997.0</v>
      </c>
      <c r="B39" s="37" t="s">
        <v>106</v>
      </c>
      <c r="C39" s="34">
        <f>COUNTIFS('Master Catalog Tracker'!H6:H105,A39,'Master Catalog Tracker'!I6:I105,B39)</f>
        <v>2</v>
      </c>
    </row>
    <row r="40" ht="15.75" customHeight="1">
      <c r="A40" s="36">
        <v>45998.0</v>
      </c>
      <c r="B40" s="37" t="s">
        <v>41</v>
      </c>
      <c r="C40" s="34">
        <f>COUNTIFS('Master Catalog Tracker'!H6:H105,A40,'Master Catalog Tracker'!I6:I105,B40)</f>
        <v>0</v>
      </c>
    </row>
    <row r="41" ht="15.75" customHeight="1">
      <c r="A41" s="36">
        <v>45998.0</v>
      </c>
      <c r="B41" s="37" t="s">
        <v>106</v>
      </c>
      <c r="C41" s="34">
        <f>COUNTIFS('Master Catalog Tracker'!H6:H105,A41,'Master Catalog Tracker'!I6:I105,B41)</f>
        <v>1</v>
      </c>
    </row>
    <row r="42" ht="15.75" customHeight="1">
      <c r="A42" s="36">
        <v>46000.0</v>
      </c>
      <c r="B42" s="37" t="s">
        <v>41</v>
      </c>
      <c r="C42" s="34">
        <f>COUNTIFS('Master Catalog Tracker'!H6:H105,A42,'Master Catalog Tracker'!I6:I105,B42)</f>
        <v>2</v>
      </c>
    </row>
    <row r="43" ht="15.75" customHeight="1">
      <c r="A43" s="36">
        <v>46000.0</v>
      </c>
      <c r="B43" s="37" t="s">
        <v>106</v>
      </c>
      <c r="C43" s="34">
        <f>COUNTIFS('Master Catalog Tracker'!H6:H105,A43,'Master Catalog Tracker'!I6:I105,B43)</f>
        <v>1</v>
      </c>
    </row>
    <row r="44" ht="15.75" customHeight="1">
      <c r="A44" s="36">
        <v>46001.0</v>
      </c>
      <c r="B44" s="37" t="s">
        <v>41</v>
      </c>
      <c r="C44" s="34">
        <f>COUNTIFS('Master Catalog Tracker'!H6:H105,A44,'Master Catalog Tracker'!I6:I105,B44)</f>
        <v>3</v>
      </c>
    </row>
    <row r="45" ht="15.75" customHeight="1">
      <c r="A45" s="36">
        <v>46001.0</v>
      </c>
      <c r="B45" s="37" t="s">
        <v>106</v>
      </c>
      <c r="C45" s="34">
        <f>COUNTIFS('Master Catalog Tracker'!H6:H105,A45,'Master Catalog Tracker'!I6:I105,B45)</f>
        <v>1</v>
      </c>
    </row>
    <row r="46" ht="15.75" customHeight="1">
      <c r="A46" s="36">
        <v>46002.0</v>
      </c>
      <c r="B46" s="37" t="s">
        <v>41</v>
      </c>
      <c r="C46" s="34">
        <f>COUNTIFS('Master Catalog Tracker'!H6:H105,A46,'Master Catalog Tracker'!I6:I105,B46)</f>
        <v>2</v>
      </c>
    </row>
    <row r="47" ht="15.75" customHeight="1">
      <c r="A47" s="36">
        <v>46002.0</v>
      </c>
      <c r="B47" s="37" t="s">
        <v>106</v>
      </c>
      <c r="C47" s="34">
        <f>COUNTIFS('Master Catalog Tracker'!H6:H105,A47,'Master Catalog Tracker'!I6:I105,B47)</f>
        <v>2</v>
      </c>
    </row>
    <row r="48" ht="15.75" customHeight="1">
      <c r="A48" s="36">
        <v>46003.0</v>
      </c>
      <c r="B48" s="37" t="s">
        <v>41</v>
      </c>
      <c r="C48" s="34">
        <f>COUNTIFS('Master Catalog Tracker'!H6:H105,A48,'Master Catalog Tracker'!I6:I105,B48)</f>
        <v>2</v>
      </c>
    </row>
    <row r="49" ht="15.75" customHeight="1">
      <c r="A49" s="36">
        <v>46003.0</v>
      </c>
      <c r="B49" s="37" t="s">
        <v>106</v>
      </c>
      <c r="C49" s="34">
        <f>COUNTIFS('Master Catalog Tracker'!H6:H105,A49,'Master Catalog Tracker'!I6:I105,B49)</f>
        <v>4</v>
      </c>
    </row>
    <row r="50" ht="15.75" customHeight="1">
      <c r="A50" s="36">
        <v>46004.0</v>
      </c>
      <c r="B50" s="37" t="s">
        <v>41</v>
      </c>
      <c r="C50" s="34">
        <f>COUNTIFS('Master Catalog Tracker'!H6:H105,A50,'Master Catalog Tracker'!I6:I105,B50)</f>
        <v>3</v>
      </c>
    </row>
    <row r="51" ht="15.75" customHeight="1">
      <c r="A51" s="36">
        <v>46004.0</v>
      </c>
      <c r="B51" s="37" t="s">
        <v>106</v>
      </c>
      <c r="C51" s="34">
        <f>COUNTIFS('Master Catalog Tracker'!H6:H105,A51,'Master Catalog Tracker'!I6:I105,B51)</f>
        <v>3</v>
      </c>
    </row>
    <row r="52" ht="15.75" customHeight="1">
      <c r="A52" s="36">
        <v>46005.0</v>
      </c>
      <c r="B52" s="37" t="s">
        <v>41</v>
      </c>
      <c r="C52" s="34">
        <f>COUNTIFS('Master Catalog Tracker'!H6:H105,A52,'Master Catalog Tracker'!I6:I105,B52)</f>
        <v>0</v>
      </c>
    </row>
    <row r="53" ht="15.75" customHeight="1">
      <c r="A53" s="36">
        <v>46005.0</v>
      </c>
      <c r="B53" s="37" t="s">
        <v>106</v>
      </c>
      <c r="C53" s="34">
        <f>COUNTIFS('Master Catalog Tracker'!H6:H105,A53,'Master Catalog Tracker'!I6:I105,B53)</f>
        <v>3</v>
      </c>
    </row>
    <row r="54" ht="15.75" customHeight="1">
      <c r="A54" s="36">
        <v>46006.0</v>
      </c>
      <c r="B54" s="37" t="s">
        <v>41</v>
      </c>
      <c r="C54" s="34">
        <f>COUNTIFS('Master Catalog Tracker'!H6:H105,A54,'Master Catalog Tracker'!I6:I105,B54)</f>
        <v>1</v>
      </c>
    </row>
    <row r="55" ht="15.75" customHeight="1">
      <c r="A55" s="36">
        <v>46006.0</v>
      </c>
      <c r="B55" s="37" t="s">
        <v>106</v>
      </c>
      <c r="C55" s="34">
        <f>COUNTIFS('Master Catalog Tracker'!H6:H105,A55,'Master Catalog Tracker'!I6:I105,B55)</f>
        <v>1</v>
      </c>
    </row>
    <row r="56" ht="15.75" customHeight="1">
      <c r="A56" s="36">
        <v>46007.0</v>
      </c>
      <c r="B56" s="37" t="s">
        <v>41</v>
      </c>
      <c r="C56" s="34">
        <f>COUNTIFS('Master Catalog Tracker'!H6:H105,A56,'Master Catalog Tracker'!I6:I105,B56)</f>
        <v>0</v>
      </c>
    </row>
    <row r="57" ht="15.75" customHeight="1">
      <c r="A57" s="36">
        <v>46007.0</v>
      </c>
      <c r="B57" s="37" t="s">
        <v>106</v>
      </c>
      <c r="C57" s="34">
        <f>COUNTIFS('Master Catalog Tracker'!H6:H105,A57,'Master Catalog Tracker'!I6:I105,B57)</f>
        <v>4</v>
      </c>
    </row>
    <row r="58" ht="15.75" customHeight="1">
      <c r="A58" s="36">
        <v>46008.0</v>
      </c>
      <c r="B58" s="37" t="s">
        <v>41</v>
      </c>
      <c r="C58" s="34">
        <f>COUNTIFS('Master Catalog Tracker'!H6:H105,A58,'Master Catalog Tracker'!I6:I105,B58)</f>
        <v>2</v>
      </c>
    </row>
    <row r="59" ht="15.75" customHeight="1">
      <c r="A59" s="36">
        <v>46008.0</v>
      </c>
      <c r="B59" s="37" t="s">
        <v>106</v>
      </c>
      <c r="C59" s="34">
        <f>COUNTIFS('Master Catalog Tracker'!H6:H105,A59,'Master Catalog Tracker'!I6:I105,B59)</f>
        <v>2</v>
      </c>
    </row>
    <row r="60" ht="15.75" customHeight="1">
      <c r="A60" s="36">
        <v>46009.0</v>
      </c>
      <c r="B60" s="37" t="s">
        <v>41</v>
      </c>
      <c r="C60" s="34">
        <f>COUNTIFS('Master Catalog Tracker'!H6:H105,A60,'Master Catalog Tracker'!I6:I105,B60)</f>
        <v>0</v>
      </c>
    </row>
    <row r="61" ht="15.75" customHeight="1">
      <c r="A61" s="36">
        <v>46009.0</v>
      </c>
      <c r="B61" s="37" t="s">
        <v>106</v>
      </c>
      <c r="C61" s="34">
        <f>COUNTIFS('Master Catalog Tracker'!H6:H105,A61,'Master Catalog Tracker'!I6:I105,B61)</f>
        <v>2</v>
      </c>
    </row>
    <row r="62" ht="15.75" customHeight="1">
      <c r="A62" s="36">
        <v>46010.0</v>
      </c>
      <c r="B62" s="37" t="s">
        <v>41</v>
      </c>
      <c r="C62" s="34">
        <f>COUNTIFS('Master Catalog Tracker'!H6:H105,A62,'Master Catalog Tracker'!I6:I105,B62)</f>
        <v>2</v>
      </c>
    </row>
    <row r="63" ht="15.75" customHeight="1">
      <c r="A63" s="36">
        <v>46010.0</v>
      </c>
      <c r="B63" s="37" t="s">
        <v>106</v>
      </c>
      <c r="C63" s="34">
        <f>COUNTIFS('Master Catalog Tracker'!H6:H105,A63,'Master Catalog Tracker'!I6:I105,B63)</f>
        <v>3</v>
      </c>
    </row>
    <row r="64" ht="15.75" customHeight="1">
      <c r="A64" s="36">
        <v>46011.0</v>
      </c>
      <c r="B64" s="37" t="s">
        <v>41</v>
      </c>
      <c r="C64" s="34">
        <f>COUNTIFS('Master Catalog Tracker'!H6:H105,A64,'Master Catalog Tracker'!I6:I105,B64)</f>
        <v>1</v>
      </c>
    </row>
    <row r="65" ht="15.75" customHeight="1">
      <c r="A65" s="36">
        <v>46011.0</v>
      </c>
      <c r="B65" s="37" t="s">
        <v>106</v>
      </c>
      <c r="C65" s="34">
        <f>COUNTIFS('Master Catalog Tracker'!H6:H105,A65,'Master Catalog Tracker'!I6:I105,B65)</f>
        <v>2</v>
      </c>
    </row>
    <row r="66" ht="15.75" customHeight="1">
      <c r="A66" s="36">
        <v>46012.0</v>
      </c>
      <c r="B66" s="37" t="s">
        <v>41</v>
      </c>
      <c r="C66" s="34">
        <f>COUNTIFS('Master Catalog Tracker'!H6:H105,A66,'Master Catalog Tracker'!I6:I105,B66)</f>
        <v>3</v>
      </c>
    </row>
    <row r="67" ht="15.75" customHeight="1">
      <c r="A67" s="36">
        <v>46012.0</v>
      </c>
      <c r="B67" s="37" t="s">
        <v>106</v>
      </c>
      <c r="C67" s="34">
        <f>COUNTIFS('Master Catalog Tracker'!H6:H105,A67,'Master Catalog Tracker'!I6:I105,B67)</f>
        <v>4</v>
      </c>
    </row>
    <row r="68" ht="15.75" customHeight="1">
      <c r="A68" s="36">
        <v>46013.0</v>
      </c>
      <c r="B68" s="37" t="s">
        <v>41</v>
      </c>
      <c r="C68" s="34">
        <f>COUNTIFS('Master Catalog Tracker'!H6:H105,A68,'Master Catalog Tracker'!I6:I105,B68)</f>
        <v>1</v>
      </c>
    </row>
    <row r="69" ht="15.75" customHeight="1">
      <c r="A69" s="36">
        <v>46013.0</v>
      </c>
      <c r="B69" s="37" t="s">
        <v>106</v>
      </c>
      <c r="C69" s="34">
        <f>COUNTIFS('Master Catalog Tracker'!H6:H105,A69,'Master Catalog Tracker'!I6:I105,B69)</f>
        <v>1</v>
      </c>
    </row>
    <row r="70" ht="15.75" customHeight="1">
      <c r="A70" s="36">
        <v>46014.0</v>
      </c>
      <c r="B70" s="37" t="s">
        <v>41</v>
      </c>
      <c r="C70" s="34">
        <f>COUNTIFS('Master Catalog Tracker'!H6:H105,A70,'Master Catalog Tracker'!I6:I105,B70)</f>
        <v>4</v>
      </c>
    </row>
    <row r="71" ht="15.75" customHeight="1">
      <c r="A71" s="36">
        <v>46014.0</v>
      </c>
      <c r="B71" s="37" t="s">
        <v>106</v>
      </c>
      <c r="C71" s="34">
        <f>COUNTIFS('Master Catalog Tracker'!H6:H105,A71,'Master Catalog Tracker'!I6:I105,B71)</f>
        <v>3</v>
      </c>
    </row>
    <row r="72" ht="15.75" customHeight="1">
      <c r="A72" s="36">
        <v>46015.0</v>
      </c>
      <c r="B72" s="37" t="s">
        <v>41</v>
      </c>
      <c r="C72" s="34">
        <f>COUNTIFS('Master Catalog Tracker'!H6:H105,A72,'Master Catalog Tracker'!I6:I105,B72)</f>
        <v>2</v>
      </c>
    </row>
    <row r="73" ht="15.75" customHeight="1">
      <c r="A73" s="36">
        <v>46015.0</v>
      </c>
      <c r="B73" s="37" t="s">
        <v>106</v>
      </c>
      <c r="C73" s="34">
        <f>COUNTIFS('Master Catalog Tracker'!H6:H105,A73,'Master Catalog Tracker'!I6:I105,B73)</f>
        <v>2</v>
      </c>
    </row>
    <row r="74" ht="15.75" customHeight="1">
      <c r="A74" s="36">
        <v>46016.0</v>
      </c>
      <c r="B74" s="37" t="s">
        <v>41</v>
      </c>
      <c r="C74" s="34">
        <f>COUNTIFS('Master Catalog Tracker'!H6:H105,A74,'Master Catalog Tracker'!I6:I105,B74)</f>
        <v>2</v>
      </c>
    </row>
    <row r="75" ht="15.75" customHeight="1">
      <c r="A75" s="36">
        <v>46016.0</v>
      </c>
      <c r="B75" s="37" t="s">
        <v>106</v>
      </c>
      <c r="C75" s="34">
        <f>COUNTIFS('Master Catalog Tracker'!H6:H105,A75,'Master Catalog Tracker'!I6:I105,B75)</f>
        <v>1</v>
      </c>
    </row>
    <row r="76" ht="15.75" customHeight="1">
      <c r="A76" s="36">
        <v>46017.0</v>
      </c>
      <c r="B76" s="37" t="s">
        <v>41</v>
      </c>
      <c r="C76" s="34">
        <f>COUNTIFS('Master Catalog Tracker'!H6:H105,A76,'Master Catalog Tracker'!I6:I105,B76)</f>
        <v>4</v>
      </c>
    </row>
    <row r="77" ht="15.75" customHeight="1">
      <c r="A77" s="36">
        <v>46017.0</v>
      </c>
      <c r="B77" s="37" t="s">
        <v>106</v>
      </c>
      <c r="C77" s="34">
        <f>COUNTIFS('Master Catalog Tracker'!H6:H105,A77,'Master Catalog Tracker'!I6:I105,B77)</f>
        <v>3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L1"/>
    <mergeCell ref="A2:L2"/>
    <mergeCell ref="A4:C4"/>
    <mergeCell ref="D4:F4"/>
    <mergeCell ref="G4:I4"/>
    <mergeCell ref="J4:L4"/>
    <mergeCell ref="N4:P4"/>
    <mergeCell ref="A5:C7"/>
    <mergeCell ref="A10:C10"/>
    <mergeCell ref="A26:C26"/>
    <mergeCell ref="E10:F10"/>
    <mergeCell ref="H10:J10"/>
    <mergeCell ref="N11:P11"/>
    <mergeCell ref="N12:P12"/>
    <mergeCell ref="N14:P14"/>
    <mergeCell ref="N15:P15"/>
    <mergeCell ref="N17:P20"/>
    <mergeCell ref="D5:F7"/>
    <mergeCell ref="G5:I7"/>
    <mergeCell ref="J5:L7"/>
    <mergeCell ref="N5:P5"/>
    <mergeCell ref="N6:P6"/>
    <mergeCell ref="N8:P8"/>
    <mergeCell ref="N9:P9"/>
  </mergeCells>
  <printOptions/>
  <pageMargins bottom="1.0" footer="0.0" header="0.0" left="0.75" right="0.75" top="1.0"/>
  <pageSetup paperSize="9" orientation="portrait"/>
  <drawing r:id="rId1"/>
</worksheet>
</file>